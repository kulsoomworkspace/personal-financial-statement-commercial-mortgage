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tps://netorg4868175-my.sharepoint.com/personal/gomez_cmdnj_com/Documents/One Drive Files/Documents/2026 Loans/Paulino Vasquez/"/>
    </mc:Choice>
  </mc:AlternateContent>
  <xr:revisionPtr revIDLastSave="28" documentId="8_{26DF971B-FF29-44F2-AE56-173D0204B634}" xr6:coauthVersionLast="47" xr6:coauthVersionMax="47" xr10:uidLastSave="{ED0A8386-9694-482D-B0A9-AD3B1CE56C60}"/>
  <workbookProtection workbookAlgorithmName="SHA-512" workbookHashValue="6vsSGliLeW8jTvHNcbMIQnP8LJAiyX5wzonjcW/gavshuHzRw1yFtBinVTFijGy+vIwNOQuaCLhvonxKe0Nj0g==" workbookSaltValue="M0Z9APXhN/uzIFtjE5sT/Q==" workbookSpinCount="100000" lockStructure="1"/>
  <bookViews>
    <workbookView xWindow="-120" yWindow="-120" windowWidth="29040" windowHeight="15720" activeTab="5" xr2:uid="{00000000-000D-0000-FFFF-FFFF00000000}"/>
  </bookViews>
  <sheets>
    <sheet name="Page 1" sheetId="1" r:id="rId1"/>
    <sheet name="Page 2" sheetId="3" r:id="rId2"/>
    <sheet name="Page 3" sheetId="4" r:id="rId3"/>
    <sheet name="Page 4" sheetId="5" r:id="rId4"/>
    <sheet name="Page 6" sheetId="6" r:id="rId5"/>
    <sheet name="Page 6 (2)" sheetId="7" r:id="rId6"/>
    <sheet name="Page 6 (3)" sheetId="8" r:id="rId7"/>
  </sheets>
  <definedNames>
    <definedName name="_xlnm.Print_Area" localSheetId="0">'Page 1'!$A$1:$L$55</definedName>
    <definedName name="_xlnm.Print_Area" localSheetId="1">'Page 2'!$A$1:$M$56</definedName>
    <definedName name="_xlnm.Print_Area" localSheetId="2">'Page 3'!$A$1:$J$53</definedName>
    <definedName name="_xlnm.Print_Area" localSheetId="3">'Page 4'!$A$1:$J$54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43" i="6" l="1"/>
  <c r="R39" i="6"/>
  <c r="R35" i="6"/>
  <c r="R31" i="6"/>
  <c r="R27" i="6"/>
  <c r="R23" i="6"/>
  <c r="R19" i="6"/>
  <c r="R15" i="6"/>
  <c r="R11" i="6"/>
  <c r="K41" i="1"/>
  <c r="K38" i="1"/>
  <c r="P44" i="8"/>
  <c r="P43" i="8"/>
  <c r="P44" i="7"/>
  <c r="P46" i="6" s="1"/>
  <c r="P43" i="7"/>
  <c r="P45" i="6" s="1"/>
  <c r="P44" i="6"/>
  <c r="P43" i="6"/>
  <c r="K35" i="1"/>
  <c r="Q39" i="8"/>
  <c r="R39" i="8" s="1"/>
  <c r="Q35" i="8"/>
  <c r="R35" i="8" s="1"/>
  <c r="Q31" i="8"/>
  <c r="R31" i="8" s="1"/>
  <c r="Q27" i="8"/>
  <c r="R27" i="8" s="1"/>
  <c r="Q23" i="8"/>
  <c r="R23" i="8" s="1"/>
  <c r="Q19" i="8"/>
  <c r="R19" i="8" s="1"/>
  <c r="Q15" i="8"/>
  <c r="R15" i="8" s="1"/>
  <c r="Q11" i="8"/>
  <c r="Q43" i="8" s="1"/>
  <c r="Q45" i="6" s="1"/>
  <c r="Q7" i="8"/>
  <c r="R7" i="8" s="1"/>
  <c r="R39" i="7"/>
  <c r="Q39" i="7"/>
  <c r="Q35" i="7"/>
  <c r="R35" i="7" s="1"/>
  <c r="Q31" i="7"/>
  <c r="R31" i="7" s="1"/>
  <c r="R27" i="7"/>
  <c r="Q27" i="7"/>
  <c r="R23" i="7"/>
  <c r="Q23" i="7"/>
  <c r="Q19" i="7"/>
  <c r="R19" i="7" s="1"/>
  <c r="Q15" i="7"/>
  <c r="R15" i="7" s="1"/>
  <c r="Q11" i="7"/>
  <c r="R11" i="7" s="1"/>
  <c r="Q7" i="7"/>
  <c r="R7" i="7" s="1"/>
  <c r="N44" i="6"/>
  <c r="N45" i="6"/>
  <c r="I45" i="6"/>
  <c r="H45" i="6"/>
  <c r="H44" i="6"/>
  <c r="N43" i="8"/>
  <c r="M43" i="8"/>
  <c r="M45" i="6" s="1"/>
  <c r="I43" i="8"/>
  <c r="H43" i="8"/>
  <c r="C2" i="8"/>
  <c r="N43" i="7"/>
  <c r="M43" i="7"/>
  <c r="M44" i="6" s="1"/>
  <c r="I43" i="7"/>
  <c r="I44" i="6" s="1"/>
  <c r="H43" i="7"/>
  <c r="C2" i="7"/>
  <c r="A17" i="4"/>
  <c r="K11" i="3"/>
  <c r="I10" i="5"/>
  <c r="G52" i="5"/>
  <c r="G49" i="5"/>
  <c r="B51" i="5"/>
  <c r="B48" i="5"/>
  <c r="H50" i="4"/>
  <c r="K16" i="3"/>
  <c r="E11" i="3"/>
  <c r="E10" i="3"/>
  <c r="I56" i="3"/>
  <c r="I51" i="3"/>
  <c r="F50" i="4"/>
  <c r="E16" i="3" s="1"/>
  <c r="C2" i="6"/>
  <c r="N43" i="6"/>
  <c r="I43" i="6"/>
  <c r="H43" i="6"/>
  <c r="H46" i="6" s="1"/>
  <c r="R11" i="8" l="1"/>
  <c r="I46" i="6"/>
  <c r="N46" i="6"/>
  <c r="K36" i="1" s="1"/>
  <c r="I28" i="4"/>
  <c r="K15" i="3"/>
  <c r="F28" i="4"/>
  <c r="Q43" i="7"/>
  <c r="Q44" i="6" s="1"/>
  <c r="Q43" i="6"/>
  <c r="M46" i="6"/>
  <c r="E36" i="1" s="1"/>
  <c r="E28" i="4"/>
  <c r="E15" i="3"/>
  <c r="R43" i="8"/>
  <c r="R45" i="6" s="1"/>
  <c r="R43" i="7"/>
  <c r="R44" i="6" s="1"/>
  <c r="R7" i="6"/>
  <c r="B8" i="4"/>
  <c r="Q46" i="6" l="1"/>
  <c r="R43" i="6"/>
  <c r="R46" i="6" s="1"/>
  <c r="I8" i="4" l="1"/>
  <c r="K13" i="3" s="1"/>
  <c r="I24" i="4"/>
  <c r="F24" i="4" l="1"/>
  <c r="K14" i="3" s="1"/>
  <c r="E24" i="4"/>
  <c r="E14" i="3" s="1"/>
  <c r="G8" i="4"/>
  <c r="E13" i="3" s="1"/>
  <c r="E28" i="3" l="1"/>
  <c r="E51" i="1"/>
  <c r="K51" i="1"/>
  <c r="K26" i="3"/>
  <c r="K27" i="3" l="1"/>
  <c r="K28" i="3" s="1"/>
</calcChain>
</file>

<file path=xl/sharedStrings.xml><?xml version="1.0" encoding="utf-8"?>
<sst xmlns="http://schemas.openxmlformats.org/spreadsheetml/2006/main" count="605" uniqueCount="220">
  <si>
    <t>Personal Information</t>
  </si>
  <si>
    <t>Applicant Name</t>
  </si>
  <si>
    <t>Co-Applicant Name</t>
  </si>
  <si>
    <t>Home Address</t>
  </si>
  <si>
    <t>Home Phone No.</t>
  </si>
  <si>
    <t>Social Security No.</t>
  </si>
  <si>
    <t>Date of Birth</t>
  </si>
  <si>
    <t>Employer</t>
  </si>
  <si>
    <t>Address of Employer</t>
  </si>
  <si>
    <t>Title/Position</t>
  </si>
  <si>
    <t>Name and Phone No. of your Accountant</t>
  </si>
  <si>
    <t>Annual Income</t>
  </si>
  <si>
    <t>Amount ($)</t>
  </si>
  <si>
    <t>Annual Expense</t>
  </si>
  <si>
    <t>Salary (Applicant)</t>
  </si>
  <si>
    <t>Federal Income Taxes</t>
  </si>
  <si>
    <t>Salary (Co-Applicant)</t>
  </si>
  <si>
    <t>State Income Taxes</t>
  </si>
  <si>
    <t>Bonuses and Commissions (Applicant)</t>
  </si>
  <si>
    <t>Other Taxes</t>
  </si>
  <si>
    <t>Interest Income</t>
  </si>
  <si>
    <t>Property Taxes (Residential)</t>
  </si>
  <si>
    <t>Dividend Income</t>
  </si>
  <si>
    <t>Property Taxes (Investment)</t>
  </si>
  <si>
    <t>Capital Gains</t>
  </si>
  <si>
    <t>Partnership Income</t>
  </si>
  <si>
    <t>Other Investment Income</t>
  </si>
  <si>
    <t>Insurance Premiums</t>
  </si>
  <si>
    <t>Investments (Incl tax shelters)</t>
  </si>
  <si>
    <t>Alimony/Child Support</t>
  </si>
  <si>
    <t>Tuition</t>
  </si>
  <si>
    <t>Medical Expenses</t>
  </si>
  <si>
    <t>Other Living Expenses</t>
  </si>
  <si>
    <t>Other Expenses (list)</t>
  </si>
  <si>
    <t xml:space="preserve">Total Income  </t>
  </si>
  <si>
    <t xml:space="preserve">Total Expense  </t>
  </si>
  <si>
    <t>**Income from alimony, child support, or separate maintenance payments need not be revealed if the applicant or co-applicant does not wish to have them considered as a basis for repaying a loan</t>
  </si>
  <si>
    <t>Assets</t>
  </si>
  <si>
    <t>Liabilities</t>
  </si>
  <si>
    <t xml:space="preserve">  Notes payable to this bank</t>
  </si>
  <si>
    <t>Secured</t>
  </si>
  <si>
    <t>Unsecured</t>
  </si>
  <si>
    <t>Notes Payable to Others</t>
  </si>
  <si>
    <t>Credit Cards</t>
  </si>
  <si>
    <t>Accounts and Notes Receivable</t>
  </si>
  <si>
    <t>Margin Accounts</t>
  </si>
  <si>
    <t>Retirement Accounts (vested)</t>
  </si>
  <si>
    <t>Taxes Payable</t>
  </si>
  <si>
    <t>Other Liabilities (list)</t>
  </si>
  <si>
    <t>Personal Property</t>
  </si>
  <si>
    <t>Autos</t>
  </si>
  <si>
    <t>Other Assets (list)</t>
  </si>
  <si>
    <t xml:space="preserve">Total Liabilities  </t>
  </si>
  <si>
    <t xml:space="preserve">Net Worth  </t>
  </si>
  <si>
    <t xml:space="preserve">Total Assets  </t>
  </si>
  <si>
    <t>=</t>
  </si>
  <si>
    <t xml:space="preserve">Do you anticipate any significant changes in your Income and Expense Statement or Balance Sheet within the next 12 months? </t>
  </si>
  <si>
    <t>(if YES, please attach separate explanation)</t>
  </si>
  <si>
    <t>(no)</t>
  </si>
  <si>
    <t>Contingent Liabilities</t>
  </si>
  <si>
    <t>Yes</t>
  </si>
  <si>
    <t>No</t>
  </si>
  <si>
    <t>Amount($)</t>
  </si>
  <si>
    <t xml:space="preserve">  Do you have any outstanding letters of credit or surety bonds?</t>
  </si>
  <si>
    <t xml:space="preserve">  Are there any suits or legal actions pending against you?</t>
  </si>
  <si>
    <t xml:space="preserve">  Are you contingently liable on any lease or contract?</t>
  </si>
  <si>
    <t xml:space="preserve">  Are any of your tax obligations past due?</t>
  </si>
  <si>
    <t xml:space="preserve">  What would be your total estimated tax liability if you were to sell your major assets?</t>
  </si>
  <si>
    <t xml:space="preserve">  If answer is yes for any of the above please attach additional details</t>
  </si>
  <si>
    <t>Schedule A - All Securities (including non-money market mutual funds)</t>
  </si>
  <si>
    <t>No of Shares</t>
  </si>
  <si>
    <t>Description</t>
  </si>
  <si>
    <t>Owner</t>
  </si>
  <si>
    <t>Where Held</t>
  </si>
  <si>
    <t>Cost</t>
  </si>
  <si>
    <t>Current Market Value</t>
  </si>
  <si>
    <t>Pledged?</t>
  </si>
  <si>
    <t>Readily Marketable Securities (including U.S. Governments and Municipals)</t>
  </si>
  <si>
    <t>Non-Readily Marketable Securities (closely held, thinly traded, or restricted)</t>
  </si>
  <si>
    <t>Schedule B - Insurance</t>
  </si>
  <si>
    <t>Insurance Company</t>
  </si>
  <si>
    <t>Face Amt of Policy</t>
  </si>
  <si>
    <t>Type of Policy</t>
  </si>
  <si>
    <t>Beneficiary Name</t>
  </si>
  <si>
    <t>Cash Surrender Value</t>
  </si>
  <si>
    <t>Amount Borrowed</t>
  </si>
  <si>
    <t>Ownership</t>
  </si>
  <si>
    <t>Disability Insurance</t>
  </si>
  <si>
    <t>Applicant</t>
  </si>
  <si>
    <t>Co-Applicant</t>
  </si>
  <si>
    <t xml:space="preserve">Monthly Distribution if Disabled   </t>
  </si>
  <si>
    <t xml:space="preserve">Maximum Total Distribution   </t>
  </si>
  <si>
    <t>Schedule C - Personal Residence, Real Estate Investments, and Mortgage Debt (majority ownership only)</t>
  </si>
  <si>
    <t>Personal Residence(s) - Please list each mortgage separately</t>
  </si>
  <si>
    <t>Property Address</t>
  </si>
  <si>
    <t>Legal Owner</t>
  </si>
  <si>
    <t>Purchase</t>
  </si>
  <si>
    <t>Market Value</t>
  </si>
  <si>
    <t>Rate</t>
  </si>
  <si>
    <t>Monthly Payment</t>
  </si>
  <si>
    <t>Lender</t>
  </si>
  <si>
    <t>Price</t>
  </si>
  <si>
    <t>Investment Properties  - Please list each mortgage separately</t>
  </si>
  <si>
    <t xml:space="preserve">To list any additional residential or investment properties please provide an attachment to this form.  </t>
  </si>
  <si>
    <t>Schedule D - Partnerships (including less than majority ownership for real estate partnerships*)</t>
  </si>
  <si>
    <t>Type of Investment</t>
  </si>
  <si>
    <t>Date of Initial Investment</t>
  </si>
  <si>
    <t>Percent Owned</t>
  </si>
  <si>
    <t xml:space="preserve">*Note: For investments which represent a material portion of your total assets, please include the relevant financial statements or tax returns, or in the case of partnership investments or S-Corporations, schedule K-1s.  </t>
  </si>
  <si>
    <t>Schedule E - Notes Payable</t>
  </si>
  <si>
    <t>Due To:</t>
  </si>
  <si>
    <t>Type of Facility</t>
  </si>
  <si>
    <t>Amount</t>
  </si>
  <si>
    <t>Collateral</t>
  </si>
  <si>
    <t>Interest Rate</t>
  </si>
  <si>
    <t>Maturity</t>
  </si>
  <si>
    <t>Unpaid Balance</t>
  </si>
  <si>
    <t xml:space="preserve">Please answer all of the following questions: </t>
  </si>
  <si>
    <t xml:space="preserve">2. Have (either of) you, or any firm in which you were a major owner, ever declared bankruptcy? </t>
  </si>
  <si>
    <t>3. Have (either of) you drawn a will?  If so please furnish the executor's name(s) _____________________________</t>
  </si>
  <si>
    <t>4. Please enter the number of your dependents and their relationship ______________________________________</t>
  </si>
  <si>
    <t>5. Have (either of) you ever had a financial plan prepared for you?</t>
  </si>
  <si>
    <t>6. Have you included the last two years federal and state tax returns with your financial statement?</t>
  </si>
  <si>
    <t>7. Do (either of) you have a line of credit or unused credit facility at another financial institution?</t>
  </si>
  <si>
    <t>8. Do (either of) you anticipate any substantial inheritances?  If yes, please provide details.</t>
  </si>
  <si>
    <t>9. Are (either of) you a partner or officer in any ventures?  If yes please provide details.</t>
  </si>
  <si>
    <t>10. Are (either of) your assets pledged other than described in this statement? If yes please provide details.</t>
  </si>
  <si>
    <t>Representations and Warranties</t>
  </si>
  <si>
    <t>_________________________</t>
  </si>
  <si>
    <t>Date</t>
  </si>
  <si>
    <t>Applicant Signature</t>
  </si>
  <si>
    <t>Co-Applicant Signature</t>
  </si>
  <si>
    <t>Borrower:</t>
  </si>
  <si>
    <t xml:space="preserve">Proposed status changes in the near future (sale, exchange, rental composition, etc.) should be described in remarks section. </t>
  </si>
  <si>
    <t>Property</t>
  </si>
  <si>
    <t>% of</t>
  </si>
  <si>
    <t>Acq. Date</t>
  </si>
  <si>
    <t>Market</t>
  </si>
  <si>
    <t>Mortgage</t>
  </si>
  <si>
    <t>Name of</t>
  </si>
  <si>
    <t>Loan</t>
  </si>
  <si>
    <t>Status</t>
  </si>
  <si>
    <t>Type</t>
  </si>
  <si>
    <t>Owrshp</t>
  </si>
  <si>
    <t>Value</t>
  </si>
  <si>
    <t>Liens</t>
  </si>
  <si>
    <t>Loan Due</t>
  </si>
  <si>
    <t>Mortgage Lender</t>
  </si>
  <si>
    <t>Number</t>
  </si>
  <si>
    <t>Rents</t>
  </si>
  <si>
    <t>Date:</t>
  </si>
  <si>
    <t>1st:</t>
  </si>
  <si>
    <t>Rental</t>
  </si>
  <si>
    <t>Cost:</t>
  </si>
  <si>
    <t>2nd:</t>
  </si>
  <si>
    <t>Sold</t>
  </si>
  <si>
    <t>THIS SCHEDULE IS TO BE ATTACHED TO AND MADE A PART OF MY LOAN APPLICATION.   SIGNED___________________________________________  DATE: _ _/_ _/_ _</t>
  </si>
  <si>
    <t>**Where there is a "0" in place there are formulas tieing in from sub-schedules.  
Please follow directions on first page and input onto the supporting schedules 1st.</t>
  </si>
  <si>
    <t>Readily Marketable Securities (Sched A)</t>
  </si>
  <si>
    <t>Non-Readily Marketable Securities (Sched A)</t>
  </si>
  <si>
    <t>Cash Value of Life Insurance (Sched B)</t>
  </si>
  <si>
    <t>Residential Real Estate (Sched C)</t>
  </si>
  <si>
    <t>Real Estate Investments (Sched C)</t>
  </si>
  <si>
    <t>Partnership Interests (Sched D)</t>
  </si>
  <si>
    <t>Deferred Income (No. of yrs deferred ____)</t>
  </si>
  <si>
    <t>Life Insurance Loans (Sched B)</t>
  </si>
  <si>
    <t>Residentail Mortgage Debt (Sched C)</t>
  </si>
  <si>
    <t>RE investments Mortgage Debt (Sched C)</t>
  </si>
  <si>
    <t>Notes Due Partnerships (Sched D)</t>
  </si>
  <si>
    <t xml:space="preserve">Total Liabilities &amp; Net Worth  </t>
  </si>
  <si>
    <t xml:space="preserve">  Are you a guarantor, co-borrower, or endorser for any debt of any ind, corp or partner?</t>
  </si>
  <si>
    <t>Income and Expenses</t>
  </si>
  <si>
    <t xml:space="preserve">               SCHEDULE OF REAL ESTATE OWNED</t>
  </si>
  <si>
    <t>Ownership Entity</t>
  </si>
  <si>
    <t>If percentage of ownership in any property is less than 100%, indicate other owners and their % in remarks section.</t>
  </si>
  <si>
    <t xml:space="preserve">Annual </t>
  </si>
  <si>
    <t>Expenses</t>
  </si>
  <si>
    <t>T:</t>
  </si>
  <si>
    <t>I:</t>
  </si>
  <si>
    <t>Monthly</t>
  </si>
  <si>
    <t>Income</t>
  </si>
  <si>
    <t>1. Income tax returns are filed to __________________ (date) Are any returns being audited?</t>
  </si>
  <si>
    <t>Accounts Payable (Sched E)</t>
  </si>
  <si>
    <t>MTG Payments (Resi PAGE 3)</t>
  </si>
  <si>
    <t>MTG Payments (Invest PAGE 6)</t>
  </si>
  <si>
    <t>P&amp;I Payments on Loans</t>
  </si>
  <si>
    <t>Rental Payments, Condo Maint</t>
  </si>
  <si>
    <t>Business No.</t>
  </si>
  <si>
    <t>Attorney Contact</t>
  </si>
  <si>
    <t>Investment Advisor/Broker Contact</t>
  </si>
  <si>
    <t>Insurance Advisor Contact</t>
  </si>
  <si>
    <t>Years</t>
  </si>
  <si>
    <t>Bonuses and Commissions (Co)</t>
  </si>
  <si>
    <t>Rental Income (PAGE 6)</t>
  </si>
  <si>
    <r>
      <t>Other Income (list)</t>
    </r>
    <r>
      <rPr>
        <b/>
        <vertAlign val="superscript"/>
        <sz val="8"/>
        <rFont val="Tahoma"/>
        <family val="2"/>
      </rPr>
      <t>**</t>
    </r>
  </si>
  <si>
    <r>
      <t xml:space="preserve">Do you anticipate any significant changes within the next 12 months?  </t>
    </r>
    <r>
      <rPr>
        <sz val="8"/>
        <rFont val="Arial"/>
        <family val="2"/>
      </rPr>
      <t>□</t>
    </r>
    <r>
      <rPr>
        <sz val="8"/>
        <rFont val="Tahoma"/>
        <family val="2"/>
      </rPr>
      <t xml:space="preserve"> Yes  </t>
    </r>
    <r>
      <rPr>
        <sz val="8"/>
        <rFont val="Arial"/>
        <family val="2"/>
      </rPr>
      <t>□</t>
    </r>
    <r>
      <rPr>
        <sz val="8"/>
        <rFont val="Tahoma"/>
        <family val="2"/>
      </rPr>
      <t xml:space="preserve">  No (If yes, attach explanation).</t>
    </r>
  </si>
  <si>
    <t>**Balance Sheet (omit cents)</t>
  </si>
  <si>
    <t>Present Balance</t>
  </si>
  <si>
    <t>Maturity Date</t>
  </si>
  <si>
    <t>Contribution Date</t>
  </si>
  <si>
    <t>Balance Due on Notes or Cash Calls</t>
  </si>
  <si>
    <t>O/O</t>
  </si>
  <si>
    <t>PS</t>
  </si>
  <si>
    <t>P &amp; I</t>
  </si>
  <si>
    <t>Net</t>
  </si>
  <si>
    <t>Please see attached SREO</t>
  </si>
  <si>
    <t>Page 1</t>
  </si>
  <si>
    <t>Page2</t>
  </si>
  <si>
    <t>Page 3</t>
  </si>
  <si>
    <t>TOTAL</t>
  </si>
  <si>
    <t>Commercial Mortgage Depot</t>
  </si>
  <si>
    <t>Phone: (973) 742-1111</t>
  </si>
  <si>
    <t>Fax: (973) 742-8899</t>
  </si>
  <si>
    <t xml:space="preserve"> 1000 Clifton Ave., Suite 104, Clifton, NJ 07013</t>
  </si>
  <si>
    <t>Checking</t>
  </si>
  <si>
    <t>Savings</t>
  </si>
  <si>
    <t>Savings CD</t>
  </si>
  <si>
    <t xml:space="preserve">PERSONAL FINANCIAL STATEMENT AS OF </t>
  </si>
  <si>
    <t>TT</t>
  </si>
  <si>
    <t>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</si>
</sst>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6" formatCode="&quot;$&quot;#,##0_);[Red]\(&quot;$&quot;#,##0\)"/>
    <numFmt numFmtId="7" formatCode="&quot;$&quot;#,##0.00_);\(&quot;$&quot;#,##0.00\)"/>
    <numFmt numFmtId="44" formatCode="_(&quot;$&quot;* #,##0.00_);_(&quot;$&quot;* \(#,##0.00\);_(&quot;$&quot;* &quot;-&quot;??_);_(@_)"/>
    <numFmt numFmtId="43" formatCode="_(* #,##0.00_);_(* \(#,##0.00\);_(* &quot;-&quot;??_);_(@_)"/>
    <numFmt numFmtId="164" formatCode="_(&quot;$&quot;* #,##0_);_(&quot;$&quot;* \(#,##0\);_(&quot;$&quot;* &quot;-&quot;??_);_(@_)"/>
    <numFmt numFmtId="165" formatCode="0;\-0;;@\ "/>
    <numFmt numFmtId="166" formatCode="[&lt;=9999999]###\-####;\(###\)\ ###\-####"/>
    <numFmt numFmtId="167" formatCode="000\-00\-0000"/>
    <numFmt numFmtId="168" formatCode="&quot;$&quot;#,##0"/>
    <numFmt numFmtId="169" formatCode="&quot;$&quot;#,##0.00"/>
  </numFmts>
  <fonts count="27" x14ac:knownFonts="1">
    <font>
      <sz val="11"/>
      <color theme="1"/>
      <name val="Calibri"/>
      <family val="2"/>
      <scheme val="minor"/>
    </font>
    <font>
      <sz val="11"/>
      <color theme="1"/>
      <name val="Calibri"/>
      <family val="2"/>
      <scheme val="minor"/>
    </font>
    <font>
      <sz val="10"/>
      <name val="Tahoma"/>
      <family val="2"/>
    </font>
    <font>
      <b/>
      <sz val="14"/>
      <name val="Tahoma"/>
      <family val="2"/>
    </font>
    <font>
      <u/>
      <sz val="11"/>
      <color indexed="12"/>
      <name val="Tahoma"/>
      <family val="2"/>
    </font>
    <font>
      <sz val="12"/>
      <name val="Tahoma"/>
      <family val="2"/>
    </font>
    <font>
      <sz val="8"/>
      <name val="Tahoma"/>
      <family val="2"/>
    </font>
    <font>
      <sz val="9"/>
      <name val="Tahoma"/>
      <family val="2"/>
    </font>
    <font>
      <b/>
      <sz val="9"/>
      <name val="Tahoma"/>
      <family val="2"/>
    </font>
    <font>
      <sz val="10"/>
      <name val="Arial"/>
      <family val="2"/>
    </font>
    <font>
      <b/>
      <sz val="8"/>
      <name val="Tahoma"/>
      <family val="2"/>
    </font>
    <font>
      <sz val="8"/>
      <color theme="1"/>
      <name val="Calibri"/>
      <family val="2"/>
      <scheme val="minor"/>
    </font>
    <font>
      <b/>
      <sz val="8"/>
      <name val="Times New Roman"/>
      <family val="1"/>
    </font>
    <font>
      <sz val="8"/>
      <name val="Times New Roman"/>
      <family val="1"/>
    </font>
    <font>
      <b/>
      <vertAlign val="superscript"/>
      <sz val="8"/>
      <name val="Tahoma"/>
      <family val="2"/>
    </font>
    <font>
      <sz val="8"/>
      <name val="Arial"/>
      <family val="2"/>
    </font>
    <font>
      <i/>
      <sz val="8"/>
      <name val="Tahoma"/>
      <family val="2"/>
    </font>
    <font>
      <b/>
      <i/>
      <sz val="8"/>
      <name val="Tahoma"/>
      <family val="2"/>
    </font>
    <font>
      <b/>
      <sz val="8"/>
      <name val="Arial"/>
      <family val="2"/>
    </font>
    <font>
      <b/>
      <sz val="8"/>
      <color theme="1"/>
      <name val="Calibri"/>
      <family val="2"/>
      <scheme val="minor"/>
    </font>
    <font>
      <b/>
      <u val="double"/>
      <sz val="8"/>
      <color theme="1"/>
      <name val="Calibri"/>
      <family val="2"/>
      <scheme val="minor"/>
    </font>
    <font>
      <b/>
      <sz val="8"/>
      <color rgb="FFFF0000"/>
      <name val="Tahoma"/>
      <family val="2"/>
    </font>
    <font>
      <sz val="8"/>
      <color rgb="FFFF0000"/>
      <name val="Tahoma"/>
      <family val="2"/>
    </font>
    <font>
      <sz val="8"/>
      <color rgb="FFFF0000"/>
      <name val="Times New Roman"/>
      <family val="1"/>
    </font>
    <font>
      <b/>
      <sz val="8"/>
      <color rgb="FFFF0000"/>
      <name val="Calibri"/>
      <family val="2"/>
      <scheme val="minor"/>
    </font>
    <font>
      <b/>
      <u val="double"/>
      <sz val="8"/>
      <color rgb="FFFF0000"/>
      <name val="Calibri"/>
      <family val="2"/>
      <scheme val="minor"/>
    </font>
    <font>
      <b/>
      <sz val="8"/>
      <color rgb="FFFF0000"/>
      <name val="Times New Roman"/>
      <family val="1"/>
    </font>
  </fonts>
  <fills count="3">
    <fill>
      <patternFill patternType="none"/>
    </fill>
    <fill>
      <patternFill patternType="gray125"/>
    </fill>
    <fill>
      <patternFill patternType="solid">
        <fgColor rgb="FFFFFF00"/>
        <bgColor indexed="64"/>
      </patternFill>
    </fill>
  </fills>
  <borders count="56">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double">
        <color indexed="64"/>
      </right>
      <top/>
      <bottom style="thin">
        <color indexed="64"/>
      </bottom>
      <diagonal/>
    </border>
    <border>
      <left style="double">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diagonal/>
    </border>
    <border>
      <left style="double">
        <color indexed="64"/>
      </left>
      <right/>
      <top style="medium">
        <color indexed="64"/>
      </top>
      <bottom style="thin">
        <color indexed="64"/>
      </bottom>
      <diagonal/>
    </border>
    <border>
      <left/>
      <right style="medium">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alignment vertical="top"/>
      <protection locked="0"/>
    </xf>
    <xf numFmtId="0" fontId="9" fillId="0" borderId="0"/>
    <xf numFmtId="44" fontId="9" fillId="0" borderId="0" applyFont="0" applyFill="0" applyBorder="0" applyAlignment="0" applyProtection="0"/>
  </cellStyleXfs>
  <cellXfs count="448">
    <xf numFmtId="0" fontId="0" fillId="0" borderId="0" xfId="0"/>
    <xf numFmtId="0" fontId="0" fillId="0" borderId="0" xfId="0" applyAlignment="1" applyProtection="1">
      <alignment vertical="center"/>
      <protection locked="0"/>
    </xf>
    <xf numFmtId="0" fontId="0" fillId="0" borderId="0" xfId="0" applyAlignment="1">
      <alignment horizontal="left"/>
    </xf>
    <xf numFmtId="0" fontId="2" fillId="0" borderId="0" xfId="0" applyFont="1"/>
    <xf numFmtId="0" fontId="5" fillId="0" borderId="0" xfId="0" applyFont="1"/>
    <xf numFmtId="0" fontId="6" fillId="0" borderId="0" xfId="0" applyFont="1"/>
    <xf numFmtId="0" fontId="2" fillId="0" borderId="0" xfId="0" applyFont="1" applyAlignment="1">
      <alignment vertical="center"/>
    </xf>
    <xf numFmtId="0" fontId="13" fillId="0" borderId="25" xfId="0" applyFont="1" applyBorder="1" applyProtection="1">
      <protection locked="0"/>
    </xf>
    <xf numFmtId="0" fontId="13" fillId="0" borderId="46" xfId="0" applyFont="1" applyBorder="1" applyProtection="1">
      <protection locked="0"/>
    </xf>
    <xf numFmtId="0" fontId="2" fillId="0" borderId="13" xfId="0" applyFont="1" applyBorder="1"/>
    <xf numFmtId="0" fontId="10" fillId="0" borderId="0" xfId="0" applyFont="1" applyAlignment="1">
      <alignment horizontal="right"/>
    </xf>
    <xf numFmtId="0" fontId="11" fillId="0" borderId="0" xfId="0" applyFont="1"/>
    <xf numFmtId="165" fontId="6" fillId="0" borderId="7" xfId="0" applyNumberFormat="1" applyFont="1" applyBorder="1" applyAlignment="1">
      <alignment horizontal="centerContinuous" vertical="center"/>
    </xf>
    <xf numFmtId="165" fontId="6" fillId="0" borderId="8" xfId="0" applyNumberFormat="1" applyFont="1" applyBorder="1" applyAlignment="1">
      <alignment horizontal="centerContinuous" vertical="center"/>
    </xf>
    <xf numFmtId="165" fontId="6" fillId="0" borderId="10" xfId="0" applyNumberFormat="1" applyFont="1" applyBorder="1" applyAlignment="1">
      <alignment horizontal="right" vertical="center"/>
    </xf>
    <xf numFmtId="165" fontId="6" fillId="0" borderId="8" xfId="0" applyNumberFormat="1" applyFont="1" applyBorder="1" applyAlignment="1">
      <alignment horizontal="right" vertical="center"/>
    </xf>
    <xf numFmtId="165" fontId="6" fillId="0" borderId="11" xfId="0" applyNumberFormat="1" applyFont="1" applyBorder="1" applyAlignment="1">
      <alignment horizontal="right" vertical="center"/>
    </xf>
    <xf numFmtId="3" fontId="6" fillId="0" borderId="8" xfId="0" applyNumberFormat="1" applyFont="1" applyBorder="1" applyAlignment="1">
      <alignment vertical="center"/>
    </xf>
    <xf numFmtId="3" fontId="6" fillId="0" borderId="8" xfId="0" applyNumberFormat="1" applyFont="1" applyBorder="1" applyAlignment="1">
      <alignment horizontal="center" vertical="center"/>
    </xf>
    <xf numFmtId="165" fontId="6" fillId="0" borderId="0" xfId="0" applyNumberFormat="1" applyFont="1" applyAlignment="1">
      <alignment vertical="center"/>
    </xf>
    <xf numFmtId="3" fontId="6" fillId="0" borderId="0" xfId="0" applyNumberFormat="1" applyFont="1" applyAlignment="1">
      <alignment horizontal="center" vertical="center"/>
    </xf>
    <xf numFmtId="165" fontId="11" fillId="0" borderId="0" xfId="0" applyNumberFormat="1" applyFont="1" applyProtection="1">
      <protection locked="0"/>
    </xf>
    <xf numFmtId="165"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Continuous" vertical="center"/>
      <protection locked="0"/>
    </xf>
    <xf numFmtId="165" fontId="10" fillId="0" borderId="5" xfId="0" applyNumberFormat="1" applyFont="1" applyBorder="1" applyAlignment="1" applyProtection="1">
      <alignment horizontal="center" vertical="center"/>
      <protection locked="0"/>
    </xf>
    <xf numFmtId="165" fontId="10" fillId="0" borderId="0" xfId="0" applyNumberFormat="1" applyFont="1" applyAlignment="1" applyProtection="1">
      <alignment horizontal="center" vertical="center"/>
      <protection locked="0"/>
    </xf>
    <xf numFmtId="165" fontId="6" fillId="0" borderId="5" xfId="0" applyNumberFormat="1" applyFont="1" applyBorder="1" applyAlignment="1" applyProtection="1">
      <alignment vertical="center"/>
      <protection locked="0"/>
    </xf>
    <xf numFmtId="165" fontId="11" fillId="0" borderId="0" xfId="0" applyNumberFormat="1" applyFont="1" applyAlignment="1" applyProtection="1">
      <alignment horizontal="center"/>
      <protection locked="0"/>
    </xf>
    <xf numFmtId="165" fontId="10" fillId="0" borderId="7" xfId="0" applyNumberFormat="1" applyFont="1" applyBorder="1" applyAlignment="1">
      <alignment horizontal="centerContinuous" vertical="center"/>
    </xf>
    <xf numFmtId="165" fontId="11" fillId="0" borderId="8" xfId="0" applyNumberFormat="1" applyFont="1" applyBorder="1" applyAlignment="1">
      <alignment horizontal="centerContinuous" vertical="center"/>
    </xf>
    <xf numFmtId="165" fontId="11" fillId="0" borderId="11" xfId="0" applyNumberFormat="1" applyFont="1" applyBorder="1" applyAlignment="1">
      <alignment horizontal="centerContinuous" vertical="center"/>
    </xf>
    <xf numFmtId="165" fontId="10" fillId="0" borderId="0" xfId="0" applyNumberFormat="1" applyFont="1" applyAlignment="1" applyProtection="1">
      <alignment horizontal="centerContinuous" vertical="center"/>
      <protection locked="0"/>
    </xf>
    <xf numFmtId="165" fontId="6" fillId="0" borderId="24" xfId="0" applyNumberFormat="1" applyFont="1" applyBorder="1" applyAlignment="1">
      <alignment horizontal="center" vertical="center"/>
    </xf>
    <xf numFmtId="3" fontId="11" fillId="0" borderId="17" xfId="0" applyNumberFormat="1" applyFont="1" applyBorder="1" applyAlignment="1" applyProtection="1">
      <alignment horizontal="center"/>
      <protection locked="0"/>
    </xf>
    <xf numFmtId="3" fontId="6" fillId="0" borderId="17" xfId="0" applyNumberFormat="1" applyFont="1" applyBorder="1" applyAlignment="1" applyProtection="1">
      <alignment horizontal="center"/>
      <protection locked="0"/>
    </xf>
    <xf numFmtId="165" fontId="11" fillId="0" borderId="0" xfId="0" applyNumberFormat="1" applyFont="1"/>
    <xf numFmtId="0" fontId="11" fillId="0" borderId="17" xfId="0" applyFont="1" applyBorder="1" applyAlignment="1">
      <alignment horizontal="left"/>
    </xf>
    <xf numFmtId="0" fontId="11" fillId="0" borderId="17" xfId="0" applyFont="1" applyBorder="1" applyAlignment="1">
      <alignment horizontal="center"/>
    </xf>
    <xf numFmtId="0" fontId="10" fillId="0" borderId="24" xfId="0" applyFont="1" applyBorder="1" applyAlignment="1">
      <alignment horizontal="center" vertical="center"/>
    </xf>
    <xf numFmtId="0" fontId="11" fillId="0" borderId="13" xfId="0" applyFont="1" applyBorder="1" applyAlignment="1">
      <alignment horizontal="left"/>
    </xf>
    <xf numFmtId="0" fontId="11" fillId="0" borderId="13" xfId="0" applyFont="1" applyBorder="1" applyAlignment="1">
      <alignment horizontal="center"/>
    </xf>
    <xf numFmtId="168" fontId="11" fillId="0" borderId="13" xfId="1" applyNumberFormat="1" applyFont="1" applyFill="1" applyBorder="1" applyProtection="1"/>
    <xf numFmtId="10" fontId="11" fillId="0" borderId="13" xfId="3" applyNumberFormat="1" applyFont="1" applyFill="1" applyBorder="1" applyProtection="1"/>
    <xf numFmtId="0" fontId="11" fillId="0" borderId="13" xfId="0" applyFont="1" applyBorder="1" applyAlignment="1" applyProtection="1">
      <alignment horizontal="left"/>
      <protection locked="0"/>
    </xf>
    <xf numFmtId="168" fontId="11" fillId="0" borderId="13" xfId="1" applyNumberFormat="1" applyFont="1" applyFill="1" applyBorder="1" applyProtection="1">
      <protection locked="0"/>
    </xf>
    <xf numFmtId="10" fontId="11" fillId="0" borderId="13" xfId="3" applyNumberFormat="1" applyFont="1" applyFill="1" applyBorder="1" applyAlignment="1" applyProtection="1">
      <alignment horizontal="center"/>
      <protection locked="0"/>
    </xf>
    <xf numFmtId="0" fontId="11" fillId="0" borderId="13" xfId="0" applyFont="1" applyBorder="1" applyAlignment="1" applyProtection="1">
      <alignment horizontal="center"/>
      <protection locked="0"/>
    </xf>
    <xf numFmtId="165" fontId="11" fillId="0" borderId="13" xfId="0" applyNumberFormat="1" applyFont="1" applyBorder="1" applyAlignment="1" applyProtection="1">
      <alignment horizontal="left"/>
      <protection locked="0"/>
    </xf>
    <xf numFmtId="165" fontId="11" fillId="0" borderId="13" xfId="0" applyNumberFormat="1" applyFont="1" applyBorder="1" applyAlignment="1" applyProtection="1">
      <alignment horizontal="center"/>
      <protection locked="0"/>
    </xf>
    <xf numFmtId="165" fontId="11" fillId="0" borderId="13" xfId="1" applyNumberFormat="1" applyFont="1" applyFill="1" applyBorder="1" applyProtection="1">
      <protection locked="0"/>
    </xf>
    <xf numFmtId="165" fontId="6" fillId="0" borderId="13" xfId="0" applyNumberFormat="1" applyFont="1" applyBorder="1" applyAlignment="1" applyProtection="1">
      <alignment horizontal="center"/>
      <protection locked="0"/>
    </xf>
    <xf numFmtId="165" fontId="11" fillId="0" borderId="13" xfId="3" applyNumberFormat="1" applyFont="1" applyFill="1" applyBorder="1" applyProtection="1">
      <protection locked="0"/>
    </xf>
    <xf numFmtId="44" fontId="11" fillId="0" borderId="0" xfId="2" applyFont="1" applyFill="1" applyBorder="1"/>
    <xf numFmtId="165" fontId="11" fillId="0" borderId="5" xfId="0" applyNumberFormat="1" applyFont="1" applyBorder="1" applyAlignment="1" applyProtection="1">
      <alignment horizontal="left" vertical="center" indent="1"/>
      <protection locked="0"/>
    </xf>
    <xf numFmtId="165" fontId="11" fillId="0" borderId="7" xfId="0" applyNumberFormat="1" applyFont="1" applyBorder="1" applyAlignment="1" applyProtection="1">
      <alignment horizontal="left" vertical="center" indent="1"/>
      <protection locked="0"/>
    </xf>
    <xf numFmtId="165" fontId="11" fillId="0" borderId="8" xfId="0" applyNumberFormat="1" applyFont="1" applyBorder="1" applyProtection="1">
      <protection locked="0"/>
    </xf>
    <xf numFmtId="165" fontId="11" fillId="0" borderId="11" xfId="0" applyNumberFormat="1" applyFont="1" applyBorder="1" applyProtection="1">
      <protection locked="0"/>
    </xf>
    <xf numFmtId="165" fontId="11" fillId="0" borderId="32" xfId="0" applyNumberFormat="1" applyFont="1" applyBorder="1" applyAlignment="1" applyProtection="1">
      <alignment horizontal="left" vertical="center" indent="1"/>
      <protection locked="0"/>
    </xf>
    <xf numFmtId="165" fontId="11" fillId="0" borderId="32" xfId="0" applyNumberFormat="1" applyFont="1" applyBorder="1" applyProtection="1">
      <protection locked="0"/>
    </xf>
    <xf numFmtId="165" fontId="11" fillId="0" borderId="34" xfId="0" applyNumberFormat="1" applyFont="1" applyBorder="1" applyAlignment="1" applyProtection="1">
      <alignment horizontal="center" vertical="center"/>
      <protection locked="0"/>
    </xf>
    <xf numFmtId="0" fontId="11" fillId="0" borderId="31" xfId="0" applyFont="1" applyBorder="1"/>
    <xf numFmtId="0" fontId="11" fillId="0" borderId="6" xfId="0" applyFont="1" applyBorder="1"/>
    <xf numFmtId="0" fontId="12" fillId="0" borderId="0" xfId="0" applyFont="1" applyProtection="1">
      <protection hidden="1"/>
    </xf>
    <xf numFmtId="0" fontId="18" fillId="0" borderId="0" xfId="0" applyFont="1" applyProtection="1">
      <protection hidden="1"/>
    </xf>
    <xf numFmtId="44" fontId="12" fillId="0" borderId="0" xfId="6" applyFont="1" applyProtection="1">
      <protection hidden="1"/>
    </xf>
    <xf numFmtId="44" fontId="11" fillId="0" borderId="0" xfId="6" applyFont="1" applyProtection="1">
      <protection hidden="1"/>
    </xf>
    <xf numFmtId="44" fontId="11" fillId="0" borderId="0" xfId="6" applyFont="1" applyAlignment="1" applyProtection="1">
      <protection hidden="1"/>
    </xf>
    <xf numFmtId="0" fontId="11" fillId="0" borderId="0" xfId="0" applyFont="1" applyProtection="1">
      <protection hidden="1"/>
    </xf>
    <xf numFmtId="0" fontId="12" fillId="0" borderId="12" xfId="0" applyFont="1" applyBorder="1" applyAlignment="1" applyProtection="1">
      <alignment horizontal="left"/>
      <protection hidden="1"/>
    </xf>
    <xf numFmtId="0" fontId="12" fillId="0" borderId="13" xfId="0" quotePrefix="1" applyFont="1" applyBorder="1" applyAlignment="1" applyProtection="1">
      <alignment horizontal="left"/>
      <protection hidden="1"/>
    </xf>
    <xf numFmtId="44" fontId="12" fillId="0" borderId="0" xfId="6" applyFont="1" applyBorder="1" applyProtection="1">
      <protection hidden="1"/>
    </xf>
    <xf numFmtId="0" fontId="12" fillId="0" borderId="33" xfId="0" applyFont="1" applyBorder="1" applyProtection="1">
      <protection hidden="1"/>
    </xf>
    <xf numFmtId="0" fontId="12" fillId="0" borderId="34" xfId="0" applyFont="1" applyBorder="1" applyProtection="1">
      <protection hidden="1"/>
    </xf>
    <xf numFmtId="44" fontId="12" fillId="0" borderId="34" xfId="6" applyFont="1" applyFill="1" applyBorder="1" applyProtection="1">
      <protection hidden="1"/>
    </xf>
    <xf numFmtId="0" fontId="12" fillId="0" borderId="36" xfId="0" applyFont="1" applyBorder="1" applyProtection="1">
      <protection hidden="1"/>
    </xf>
    <xf numFmtId="0" fontId="12" fillId="0" borderId="8" xfId="0" applyFont="1" applyBorder="1" applyProtection="1">
      <protection hidden="1"/>
    </xf>
    <xf numFmtId="44" fontId="12" fillId="0" borderId="8" xfId="6" applyFont="1" applyFill="1" applyBorder="1" applyProtection="1">
      <protection hidden="1"/>
    </xf>
    <xf numFmtId="44" fontId="12" fillId="0" borderId="8" xfId="6" applyFont="1" applyFill="1" applyBorder="1" applyAlignment="1" applyProtection="1">
      <protection hidden="1"/>
    </xf>
    <xf numFmtId="0" fontId="12" fillId="0" borderId="11" xfId="0" applyFont="1" applyBorder="1" applyProtection="1">
      <protection hidden="1"/>
    </xf>
    <xf numFmtId="0" fontId="12" fillId="0" borderId="26" xfId="0" applyFont="1" applyBorder="1" applyAlignment="1" applyProtection="1">
      <alignment horizontal="center"/>
      <protection hidden="1"/>
    </xf>
    <xf numFmtId="44" fontId="12" fillId="0" borderId="26" xfId="6" applyFont="1" applyBorder="1" applyAlignment="1" applyProtection="1">
      <alignment horizontal="center"/>
      <protection hidden="1"/>
    </xf>
    <xf numFmtId="0" fontId="12" fillId="0" borderId="26" xfId="0" applyFont="1" applyBorder="1" applyAlignment="1" applyProtection="1">
      <alignment horizontal="left"/>
      <protection hidden="1"/>
    </xf>
    <xf numFmtId="0" fontId="12" fillId="0" borderId="40" xfId="0" applyFont="1" applyBorder="1" applyAlignment="1" applyProtection="1">
      <alignment horizontal="center"/>
      <protection hidden="1"/>
    </xf>
    <xf numFmtId="44" fontId="12" fillId="0" borderId="40" xfId="6" applyFont="1" applyBorder="1" applyAlignment="1" applyProtection="1">
      <alignment horizontal="center"/>
      <protection hidden="1"/>
    </xf>
    <xf numFmtId="0" fontId="12" fillId="0" borderId="40" xfId="0" applyFont="1" applyBorder="1" applyAlignment="1" applyProtection="1">
      <alignment wrapText="1"/>
      <protection hidden="1"/>
    </xf>
    <xf numFmtId="0" fontId="13" fillId="0" borderId="42" xfId="0" applyFont="1" applyBorder="1" applyProtection="1">
      <protection locked="0"/>
    </xf>
    <xf numFmtId="44" fontId="13" fillId="0" borderId="42" xfId="6" applyFont="1" applyBorder="1" applyProtection="1">
      <protection locked="0"/>
    </xf>
    <xf numFmtId="0" fontId="12" fillId="0" borderId="44" xfId="0" applyFont="1" applyBorder="1" applyProtection="1">
      <protection locked="0"/>
    </xf>
    <xf numFmtId="0" fontId="13" fillId="0" borderId="26" xfId="0" applyFont="1" applyBorder="1" applyAlignment="1" applyProtection="1">
      <alignment horizontal="left"/>
      <protection locked="0"/>
    </xf>
    <xf numFmtId="44" fontId="13" fillId="0" borderId="26" xfId="6" applyFont="1" applyBorder="1" applyProtection="1">
      <protection locked="0"/>
    </xf>
    <xf numFmtId="0" fontId="12" fillId="0" borderId="45" xfId="0" applyFont="1" applyBorder="1" applyProtection="1">
      <protection locked="0"/>
    </xf>
    <xf numFmtId="164" fontId="12" fillId="0" borderId="0" xfId="6" applyNumberFormat="1" applyFont="1" applyBorder="1"/>
    <xf numFmtId="44" fontId="12" fillId="0" borderId="0" xfId="6" applyFont="1" applyBorder="1"/>
    <xf numFmtId="44" fontId="11" fillId="0" borderId="0" xfId="6" applyFont="1" applyBorder="1"/>
    <xf numFmtId="44" fontId="12" fillId="0" borderId="0" xfId="6" applyFont="1" applyBorder="1" applyAlignment="1">
      <alignment horizontal="center"/>
    </xf>
    <xf numFmtId="0" fontId="12" fillId="0" borderId="0" xfId="0" applyFont="1" applyProtection="1">
      <protection locked="0"/>
    </xf>
    <xf numFmtId="44" fontId="11" fillId="0" borderId="0" xfId="6" applyFont="1"/>
    <xf numFmtId="44" fontId="11" fillId="0" borderId="0" xfId="6" applyFont="1" applyAlignment="1"/>
    <xf numFmtId="0" fontId="15" fillId="0" borderId="0" xfId="0" applyFont="1" applyAlignment="1">
      <alignment horizontal="right"/>
    </xf>
    <xf numFmtId="169" fontId="11" fillId="0" borderId="17" xfId="2" applyNumberFormat="1" applyFont="1" applyFill="1" applyBorder="1" applyAlignment="1" applyProtection="1">
      <alignment horizontal="right" indent="1"/>
      <protection hidden="1"/>
    </xf>
    <xf numFmtId="168" fontId="11" fillId="0" borderId="13" xfId="2" applyNumberFormat="1" applyFont="1" applyFill="1" applyBorder="1" applyAlignment="1" applyProtection="1">
      <alignment horizontal="right"/>
    </xf>
    <xf numFmtId="5" fontId="12" fillId="0" borderId="47" xfId="6" applyNumberFormat="1" applyFont="1" applyBorder="1" applyProtection="1">
      <protection hidden="1"/>
    </xf>
    <xf numFmtId="168" fontId="12" fillId="0" borderId="47" xfId="6" applyNumberFormat="1" applyFont="1" applyBorder="1" applyProtection="1">
      <protection hidden="1"/>
    </xf>
    <xf numFmtId="168" fontId="11" fillId="0" borderId="47" xfId="6" applyNumberFormat="1" applyFont="1" applyBorder="1" applyProtection="1">
      <protection hidden="1"/>
    </xf>
    <xf numFmtId="0" fontId="11" fillId="0" borderId="0" xfId="0" applyFont="1" applyAlignment="1">
      <alignment horizontal="right"/>
    </xf>
    <xf numFmtId="6" fontId="13" fillId="0" borderId="34" xfId="6" applyNumberFormat="1" applyFont="1" applyBorder="1" applyAlignment="1" applyProtection="1">
      <alignment horizontal="right"/>
      <protection hidden="1"/>
    </xf>
    <xf numFmtId="6" fontId="11" fillId="0" borderId="0" xfId="0" applyNumberFormat="1" applyFont="1" applyAlignment="1">
      <alignment horizontal="right"/>
    </xf>
    <xf numFmtId="6" fontId="11" fillId="0" borderId="34" xfId="6" applyNumberFormat="1" applyFont="1" applyBorder="1" applyAlignment="1" applyProtection="1">
      <alignment horizontal="right"/>
      <protection hidden="1"/>
    </xf>
    <xf numFmtId="6" fontId="13" fillId="0" borderId="0" xfId="6" applyNumberFormat="1" applyFont="1" applyBorder="1" applyAlignment="1">
      <alignment horizontal="right"/>
    </xf>
    <xf numFmtId="6" fontId="11" fillId="0" borderId="0" xfId="6" applyNumberFormat="1" applyFont="1" applyBorder="1" applyAlignment="1">
      <alignment horizontal="right"/>
    </xf>
    <xf numFmtId="6" fontId="11" fillId="0" borderId="0" xfId="6" applyNumberFormat="1" applyFont="1" applyAlignment="1">
      <alignment horizontal="right"/>
    </xf>
    <xf numFmtId="6" fontId="13" fillId="0" borderId="8" xfId="6" applyNumberFormat="1" applyFont="1" applyBorder="1" applyAlignment="1">
      <alignment horizontal="right"/>
    </xf>
    <xf numFmtId="6" fontId="11" fillId="0" borderId="8" xfId="6" applyNumberFormat="1" applyFont="1" applyBorder="1" applyAlignment="1">
      <alignment horizontal="right"/>
    </xf>
    <xf numFmtId="0" fontId="19" fillId="0" borderId="0" xfId="0" applyFont="1"/>
    <xf numFmtId="0" fontId="19" fillId="0" borderId="0" xfId="0" applyFont="1" applyAlignment="1">
      <alignment horizontal="right"/>
    </xf>
    <xf numFmtId="6" fontId="20" fillId="0" borderId="0" xfId="0" applyNumberFormat="1" applyFont="1" applyAlignment="1">
      <alignment horizontal="right"/>
    </xf>
    <xf numFmtId="6" fontId="19" fillId="0" borderId="0" xfId="0" applyNumberFormat="1" applyFont="1" applyAlignment="1">
      <alignment horizontal="right"/>
    </xf>
    <xf numFmtId="6" fontId="20" fillId="0" borderId="0" xfId="6" applyNumberFormat="1" applyFont="1" applyAlignment="1">
      <alignment horizontal="right"/>
    </xf>
    <xf numFmtId="165" fontId="6" fillId="2" borderId="0" xfId="0" applyNumberFormat="1" applyFont="1" applyFill="1" applyAlignment="1" applyProtection="1">
      <alignment horizontal="center"/>
      <protection locked="0"/>
    </xf>
    <xf numFmtId="165" fontId="11" fillId="2" borderId="0" xfId="0" applyNumberFormat="1" applyFont="1" applyFill="1" applyAlignment="1" applyProtection="1">
      <alignment horizontal="center"/>
      <protection locked="0"/>
    </xf>
    <xf numFmtId="3" fontId="11" fillId="2" borderId="25" xfId="0" applyNumberFormat="1" applyFont="1" applyFill="1" applyBorder="1" applyAlignment="1" applyProtection="1">
      <alignment horizontal="center"/>
      <protection locked="0"/>
    </xf>
    <xf numFmtId="3" fontId="6" fillId="2" borderId="25" xfId="0" applyNumberFormat="1" applyFont="1" applyFill="1" applyBorder="1" applyAlignment="1" applyProtection="1">
      <alignment horizontal="center"/>
      <protection locked="0"/>
    </xf>
    <xf numFmtId="3" fontId="11" fillId="2" borderId="24" xfId="0" applyNumberFormat="1" applyFont="1" applyFill="1" applyBorder="1" applyAlignment="1" applyProtection="1">
      <alignment horizontal="center"/>
      <protection locked="0"/>
    </xf>
    <xf numFmtId="3" fontId="11" fillId="2" borderId="25" xfId="0" applyNumberFormat="1" applyFont="1" applyFill="1" applyBorder="1" applyProtection="1">
      <protection locked="0"/>
    </xf>
    <xf numFmtId="3" fontId="11" fillId="2" borderId="24" xfId="0" applyNumberFormat="1" applyFont="1" applyFill="1" applyBorder="1" applyProtection="1">
      <protection locked="0"/>
    </xf>
    <xf numFmtId="0" fontId="11" fillId="2" borderId="25" xfId="0" applyFont="1" applyFill="1" applyBorder="1" applyAlignment="1" applyProtection="1">
      <alignment horizontal="left"/>
      <protection locked="0"/>
    </xf>
    <xf numFmtId="0" fontId="11" fillId="2" borderId="25" xfId="0" applyFont="1" applyFill="1" applyBorder="1" applyAlignment="1" applyProtection="1">
      <alignment horizontal="center"/>
      <protection locked="0"/>
    </xf>
    <xf numFmtId="169" fontId="11" fillId="2" borderId="25" xfId="2" applyNumberFormat="1" applyFont="1" applyFill="1" applyBorder="1" applyAlignment="1" applyProtection="1">
      <alignment horizontal="right" indent="1"/>
      <protection locked="0"/>
    </xf>
    <xf numFmtId="0" fontId="11" fillId="2" borderId="25" xfId="0" applyFont="1" applyFill="1" applyBorder="1" applyProtection="1">
      <protection locked="0"/>
    </xf>
    <xf numFmtId="14" fontId="11" fillId="2" borderId="25" xfId="0" quotePrefix="1" applyNumberFormat="1" applyFont="1" applyFill="1" applyBorder="1" applyAlignment="1" applyProtection="1">
      <alignment horizontal="center"/>
      <protection locked="0"/>
    </xf>
    <xf numFmtId="168" fontId="11" fillId="2" borderId="25" xfId="2" applyNumberFormat="1" applyFont="1" applyFill="1" applyBorder="1" applyAlignment="1" applyProtection="1">
      <alignment horizontal="right"/>
      <protection locked="0"/>
    </xf>
    <xf numFmtId="10" fontId="11" fillId="2" borderId="25" xfId="3" applyNumberFormat="1" applyFont="1" applyFill="1" applyBorder="1" applyProtection="1">
      <protection locked="0"/>
    </xf>
    <xf numFmtId="14" fontId="11" fillId="2" borderId="25" xfId="0" applyNumberFormat="1" applyFont="1" applyFill="1" applyBorder="1" applyAlignment="1" applyProtection="1">
      <alignment horizontal="center"/>
      <protection locked="0"/>
    </xf>
    <xf numFmtId="0" fontId="11" fillId="2" borderId="0" xfId="0" applyFont="1" applyFill="1" applyProtection="1">
      <protection locked="0"/>
    </xf>
    <xf numFmtId="0" fontId="11" fillId="2" borderId="25" xfId="0" applyFont="1" applyFill="1" applyBorder="1"/>
    <xf numFmtId="0" fontId="11" fillId="2" borderId="20" xfId="0" applyFont="1" applyFill="1" applyBorder="1" applyAlignment="1">
      <alignment horizontal="center"/>
    </xf>
    <xf numFmtId="14" fontId="11" fillId="2" borderId="25" xfId="0" applyNumberFormat="1" applyFont="1" applyFill="1" applyBorder="1" applyAlignment="1">
      <alignment horizontal="center"/>
    </xf>
    <xf numFmtId="168" fontId="11" fillId="2" borderId="25" xfId="0" applyNumberFormat="1" applyFont="1" applyFill="1" applyBorder="1" applyAlignment="1">
      <alignment horizontal="right"/>
    </xf>
    <xf numFmtId="168" fontId="11" fillId="2" borderId="25" xfId="2" applyNumberFormat="1" applyFont="1" applyFill="1" applyBorder="1" applyAlignment="1" applyProtection="1">
      <alignment horizontal="right"/>
    </xf>
    <xf numFmtId="0" fontId="11" fillId="2" borderId="25" xfId="0" applyFont="1" applyFill="1" applyBorder="1" applyAlignment="1">
      <alignment horizontal="center"/>
    </xf>
    <xf numFmtId="169" fontId="11" fillId="2" borderId="25" xfId="1" applyNumberFormat="1" applyFont="1" applyFill="1" applyBorder="1" applyAlignment="1" applyProtection="1">
      <alignment horizontal="right"/>
      <protection locked="0"/>
    </xf>
    <xf numFmtId="10" fontId="11" fillId="2" borderId="25" xfId="3" applyNumberFormat="1" applyFont="1" applyFill="1" applyBorder="1" applyAlignment="1" applyProtection="1">
      <alignment horizontal="center"/>
      <protection locked="0"/>
    </xf>
    <xf numFmtId="10" fontId="6" fillId="2" borderId="25" xfId="3" applyNumberFormat="1" applyFont="1" applyFill="1" applyBorder="1" applyAlignment="1" applyProtection="1">
      <alignment horizontal="center"/>
      <protection locked="0"/>
    </xf>
    <xf numFmtId="165" fontId="11" fillId="2" borderId="0" xfId="0" applyNumberFormat="1" applyFont="1" applyFill="1" applyProtection="1">
      <protection locked="0"/>
    </xf>
    <xf numFmtId="165" fontId="11" fillId="2" borderId="25" xfId="0" applyNumberFormat="1" applyFont="1" applyFill="1" applyBorder="1" applyAlignment="1" applyProtection="1">
      <alignment horizontal="left"/>
      <protection locked="0"/>
    </xf>
    <xf numFmtId="165" fontId="11" fillId="2" borderId="25" xfId="0" applyNumberFormat="1" applyFont="1" applyFill="1" applyBorder="1" applyAlignment="1" applyProtection="1">
      <alignment horizontal="center"/>
      <protection locked="0"/>
    </xf>
    <xf numFmtId="168" fontId="11" fillId="2" borderId="25" xfId="1" applyNumberFormat="1" applyFont="1" applyFill="1" applyBorder="1" applyAlignment="1" applyProtection="1">
      <alignment horizontal="right"/>
      <protection locked="0"/>
    </xf>
    <xf numFmtId="165" fontId="6" fillId="2" borderId="25" xfId="0" applyNumberFormat="1" applyFont="1" applyFill="1" applyBorder="1" applyAlignment="1" applyProtection="1">
      <alignment horizontal="center"/>
      <protection locked="0"/>
    </xf>
    <xf numFmtId="165" fontId="11" fillId="2" borderId="25" xfId="3" applyNumberFormat="1" applyFont="1" applyFill="1" applyBorder="1" applyProtection="1">
      <protection locked="0"/>
    </xf>
    <xf numFmtId="0" fontId="12" fillId="2" borderId="25" xfId="0" applyFont="1" applyFill="1" applyBorder="1" applyProtection="1">
      <protection locked="0"/>
    </xf>
    <xf numFmtId="0" fontId="12" fillId="2" borderId="46" xfId="0" applyFont="1" applyFill="1" applyBorder="1" applyProtection="1">
      <protection locked="0"/>
    </xf>
    <xf numFmtId="0" fontId="12" fillId="2" borderId="44" xfId="0" applyFont="1" applyFill="1" applyBorder="1" applyProtection="1">
      <protection locked="0"/>
    </xf>
    <xf numFmtId="0" fontId="12" fillId="2" borderId="45" xfId="0" applyFont="1" applyFill="1" applyBorder="1" applyProtection="1">
      <protection locked="0"/>
    </xf>
    <xf numFmtId="0" fontId="12" fillId="2" borderId="24" xfId="0" quotePrefix="1" applyFont="1" applyFill="1" applyBorder="1" applyProtection="1">
      <protection locked="0"/>
    </xf>
    <xf numFmtId="44" fontId="12" fillId="2" borderId="40" xfId="6" applyFont="1" applyFill="1" applyBorder="1" applyProtection="1">
      <protection locked="0"/>
    </xf>
    <xf numFmtId="0" fontId="12" fillId="2" borderId="24" xfId="0" applyFont="1" applyFill="1" applyBorder="1" applyProtection="1">
      <protection locked="0"/>
    </xf>
    <xf numFmtId="168" fontId="12" fillId="2" borderId="24" xfId="6" applyNumberFormat="1" applyFont="1" applyFill="1" applyBorder="1" applyProtection="1">
      <protection locked="0"/>
    </xf>
    <xf numFmtId="168" fontId="12" fillId="2" borderId="40" xfId="6" applyNumberFormat="1" applyFont="1" applyFill="1" applyBorder="1" applyProtection="1">
      <protection locked="0"/>
    </xf>
    <xf numFmtId="0" fontId="3" fillId="2" borderId="1" xfId="0" applyFont="1" applyFill="1" applyBorder="1" applyAlignment="1" applyProtection="1">
      <alignment vertical="center"/>
      <protection locked="0"/>
    </xf>
    <xf numFmtId="168" fontId="12" fillId="0" borderId="2" xfId="6" applyNumberFormat="1" applyFont="1" applyBorder="1" applyProtection="1">
      <protection hidden="1"/>
    </xf>
    <xf numFmtId="168" fontId="12" fillId="0" borderId="4" xfId="6" applyNumberFormat="1" applyFont="1" applyBorder="1" applyProtection="1">
      <protection hidden="1"/>
    </xf>
    <xf numFmtId="0" fontId="7" fillId="2" borderId="7" xfId="0" applyFont="1" applyFill="1" applyBorder="1" applyAlignment="1" applyProtection="1">
      <alignment horizontal="center"/>
      <protection locked="0"/>
    </xf>
    <xf numFmtId="0" fontId="7" fillId="2" borderId="8" xfId="0" applyFont="1" applyFill="1" applyBorder="1" applyAlignment="1" applyProtection="1">
      <alignment horizontal="center"/>
      <protection locked="0"/>
    </xf>
    <xf numFmtId="0" fontId="7" fillId="2" borderId="11" xfId="0" applyFont="1" applyFill="1" applyBorder="1" applyAlignment="1" applyProtection="1">
      <alignment horizontal="center"/>
      <protection locked="0"/>
    </xf>
    <xf numFmtId="0" fontId="2" fillId="0" borderId="0" xfId="0" applyFont="1"/>
    <xf numFmtId="49" fontId="4" fillId="0" borderId="1" xfId="4" applyNumberFormat="1" applyFill="1" applyBorder="1" applyAlignment="1" applyProtection="1">
      <alignment horizontal="center" vertical="center"/>
    </xf>
    <xf numFmtId="0" fontId="0" fillId="0" borderId="1" xfId="0"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34" xfId="0" applyFont="1" applyBorder="1" applyAlignment="1">
      <alignment horizontal="center" vertical="center"/>
    </xf>
    <xf numFmtId="0" fontId="8" fillId="0" borderId="55" xfId="0" applyFont="1" applyBorder="1" applyAlignment="1">
      <alignment horizontal="center" vertical="center"/>
    </xf>
    <xf numFmtId="0" fontId="2" fillId="0" borderId="0" xfId="0" applyFont="1" applyAlignment="1">
      <alignment horizontal="center" vertical="center"/>
    </xf>
    <xf numFmtId="0" fontId="8" fillId="0" borderId="30" xfId="0" applyFont="1" applyBorder="1" applyAlignment="1">
      <alignment horizontal="center"/>
    </xf>
    <xf numFmtId="0" fontId="8" fillId="0" borderId="34" xfId="0" applyFon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8" fillId="0" borderId="15" xfId="0" applyFont="1" applyBorder="1" applyAlignment="1">
      <alignment horizontal="center"/>
    </xf>
    <xf numFmtId="0" fontId="3" fillId="0" borderId="0" xfId="0" applyFont="1" applyAlignment="1" applyProtection="1">
      <alignment horizontal="center" vertical="center"/>
      <protection locked="0"/>
    </xf>
    <xf numFmtId="0" fontId="7" fillId="2" borderId="5" xfId="0" applyFont="1" applyFill="1" applyBorder="1" applyAlignment="1" applyProtection="1">
      <alignment horizontal="center"/>
      <protection locked="0"/>
    </xf>
    <xf numFmtId="0" fontId="7" fillId="2" borderId="0" xfId="0" applyFont="1" applyFill="1" applyAlignment="1" applyProtection="1">
      <alignment horizontal="center"/>
      <protection locked="0"/>
    </xf>
    <xf numFmtId="0" fontId="7" fillId="2" borderId="6" xfId="0" applyFont="1" applyFill="1" applyBorder="1" applyAlignment="1" applyProtection="1">
      <alignment horizontal="center"/>
      <protection locked="0"/>
    </xf>
    <xf numFmtId="166" fontId="7" fillId="2" borderId="7" xfId="0" applyNumberFormat="1" applyFont="1" applyFill="1" applyBorder="1" applyAlignment="1" applyProtection="1">
      <alignment horizontal="center"/>
      <protection locked="0"/>
    </xf>
    <xf numFmtId="166" fontId="7" fillId="2" borderId="11" xfId="0" applyNumberFormat="1" applyFont="1" applyFill="1" applyBorder="1" applyAlignment="1" applyProtection="1">
      <alignment horizontal="center"/>
      <protection locked="0"/>
    </xf>
    <xf numFmtId="167" fontId="7" fillId="2" borderId="7" xfId="0" applyNumberFormat="1" applyFont="1" applyFill="1" applyBorder="1" applyAlignment="1" applyProtection="1">
      <alignment horizontal="center"/>
      <protection locked="0"/>
    </xf>
    <xf numFmtId="167" fontId="7" fillId="2" borderId="11" xfId="0" applyNumberFormat="1" applyFont="1" applyFill="1" applyBorder="1" applyAlignment="1" applyProtection="1">
      <alignment horizontal="center"/>
      <protection locked="0"/>
    </xf>
    <xf numFmtId="14" fontId="7" fillId="2" borderId="7" xfId="0" applyNumberFormat="1" applyFont="1" applyFill="1" applyBorder="1" applyAlignment="1" applyProtection="1">
      <alignment horizontal="center"/>
      <protection locked="0"/>
    </xf>
    <xf numFmtId="14" fontId="7" fillId="2" borderId="8" xfId="0" applyNumberFormat="1" applyFont="1" applyFill="1" applyBorder="1" applyAlignment="1" applyProtection="1">
      <alignment horizontal="center"/>
      <protection locked="0"/>
    </xf>
    <xf numFmtId="14" fontId="7" fillId="2" borderId="11" xfId="0" applyNumberFormat="1" applyFont="1" applyFill="1" applyBorder="1" applyAlignment="1" applyProtection="1">
      <alignment horizontal="center"/>
      <protection locked="0"/>
    </xf>
    <xf numFmtId="169" fontId="6" fillId="2" borderId="16" xfId="2" applyNumberFormat="1" applyFont="1" applyFill="1" applyBorder="1" applyAlignment="1" applyProtection="1">
      <alignment horizontal="right" vertical="center"/>
      <protection locked="0"/>
    </xf>
    <xf numFmtId="169" fontId="6" fillId="2" borderId="18" xfId="2" applyNumberFormat="1" applyFont="1" applyFill="1" applyBorder="1" applyAlignment="1" applyProtection="1">
      <alignment horizontal="right" vertical="center"/>
      <protection locked="0"/>
    </xf>
    <xf numFmtId="169" fontId="6" fillId="2" borderId="20" xfId="2" applyNumberFormat="1" applyFont="1" applyFill="1" applyBorder="1" applyAlignment="1" applyProtection="1">
      <alignment horizontal="right" vertical="center"/>
      <protection locked="0"/>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6" fillId="0" borderId="7" xfId="0" applyFont="1" applyBorder="1" applyAlignment="1">
      <alignment horizontal="center" vertical="center"/>
    </xf>
    <xf numFmtId="0" fontId="6" fillId="0" borderId="9" xfId="0" applyFont="1" applyBorder="1" applyAlignment="1">
      <alignment horizontal="center" vertical="center"/>
    </xf>
    <xf numFmtId="0" fontId="6" fillId="0" borderId="11" xfId="0" applyFont="1" applyBorder="1" applyAlignment="1">
      <alignment horizontal="center" vertical="center"/>
    </xf>
    <xf numFmtId="0" fontId="10" fillId="0" borderId="19" xfId="0" applyFont="1" applyBorder="1" applyAlignment="1">
      <alignment horizontal="right" vertical="center"/>
    </xf>
    <xf numFmtId="0" fontId="10" fillId="0" borderId="17" xfId="0" applyFont="1" applyBorder="1" applyAlignment="1">
      <alignment horizontal="right" vertical="center"/>
    </xf>
    <xf numFmtId="0" fontId="10" fillId="0" borderId="20" xfId="0" applyFont="1" applyBorder="1" applyAlignment="1">
      <alignment horizontal="right" vertical="center"/>
    </xf>
    <xf numFmtId="0" fontId="8" fillId="0" borderId="48" xfId="0" applyFont="1" applyBorder="1" applyAlignment="1">
      <alignment horizontal="center"/>
    </xf>
    <xf numFmtId="0" fontId="7" fillId="2" borderId="7" xfId="0" applyFont="1" applyFill="1" applyBorder="1" applyAlignment="1" applyProtection="1">
      <alignment horizontal="center" vertical="center" wrapText="1"/>
      <protection locked="0"/>
    </xf>
    <xf numFmtId="0" fontId="7" fillId="2" borderId="9" xfId="0" applyFont="1" applyFill="1" applyBorder="1" applyAlignment="1" applyProtection="1">
      <alignment horizontal="center" vertical="center" wrapText="1"/>
      <protection locked="0"/>
    </xf>
    <xf numFmtId="0" fontId="8" fillId="0" borderId="14" xfId="0" applyFont="1" applyBorder="1" applyAlignment="1">
      <alignment horizontal="center"/>
    </xf>
    <xf numFmtId="0" fontId="7" fillId="2" borderId="16" xfId="0" applyFont="1" applyFill="1" applyBorder="1" applyAlignment="1" applyProtection="1">
      <alignment horizontal="center"/>
      <protection locked="0"/>
    </xf>
    <xf numFmtId="0" fontId="7" fillId="2" borderId="17" xfId="0" applyFont="1" applyFill="1" applyBorder="1" applyAlignment="1" applyProtection="1">
      <alignment horizontal="center"/>
      <protection locked="0"/>
    </xf>
    <xf numFmtId="0" fontId="7" fillId="2" borderId="20" xfId="0" applyFont="1" applyFill="1" applyBorder="1" applyAlignment="1" applyProtection="1">
      <alignment horizontal="center"/>
      <protection locked="0"/>
    </xf>
    <xf numFmtId="166" fontId="7" fillId="2" borderId="25" xfId="0" applyNumberFormat="1" applyFont="1" applyFill="1" applyBorder="1" applyAlignment="1" applyProtection="1">
      <alignment horizontal="center"/>
      <protection locked="0"/>
    </xf>
    <xf numFmtId="0" fontId="7" fillId="2" borderId="25" xfId="0" applyFont="1" applyFill="1" applyBorder="1" applyAlignment="1" applyProtection="1">
      <alignment horizontal="center"/>
      <protection locked="0"/>
    </xf>
    <xf numFmtId="169" fontId="6" fillId="2" borderId="16" xfId="2" applyNumberFormat="1" applyFont="1" applyFill="1" applyBorder="1" applyAlignment="1" applyProtection="1">
      <alignment horizontal="right" vertical="center"/>
    </xf>
    <xf numFmtId="169" fontId="6" fillId="2" borderId="20" xfId="2" applyNumberFormat="1" applyFont="1" applyFill="1" applyBorder="1" applyAlignment="1" applyProtection="1">
      <alignment horizontal="right" vertical="center"/>
    </xf>
    <xf numFmtId="169" fontId="6" fillId="2" borderId="16" xfId="2" applyNumberFormat="1" applyFont="1" applyFill="1" applyBorder="1" applyAlignment="1">
      <alignment horizontal="right" vertical="center"/>
    </xf>
    <xf numFmtId="169" fontId="6" fillId="2" borderId="20" xfId="2" applyNumberFormat="1" applyFont="1" applyFill="1" applyBorder="1" applyAlignment="1">
      <alignment horizontal="right" vertical="center"/>
    </xf>
    <xf numFmtId="169" fontId="6" fillId="0" borderId="2" xfId="2" applyNumberFormat="1" applyFont="1" applyFill="1" applyBorder="1" applyAlignment="1" applyProtection="1">
      <alignment horizontal="right"/>
    </xf>
    <xf numFmtId="169" fontId="6" fillId="0" borderId="4" xfId="2" applyNumberFormat="1" applyFont="1" applyFill="1" applyBorder="1" applyAlignment="1" applyProtection="1">
      <alignment horizontal="right"/>
    </xf>
    <xf numFmtId="0" fontId="6" fillId="0" borderId="0" xfId="0" applyFont="1" applyAlignment="1">
      <alignment horizontal="center" vertical="center" wrapText="1"/>
    </xf>
    <xf numFmtId="169" fontId="6" fillId="2" borderId="16" xfId="2" applyNumberFormat="1" applyFont="1" applyFill="1" applyBorder="1" applyAlignment="1" applyProtection="1">
      <alignment horizontal="right"/>
      <protection locked="0"/>
    </xf>
    <xf numFmtId="169" fontId="6" fillId="2" borderId="20" xfId="2" applyNumberFormat="1" applyFont="1" applyFill="1" applyBorder="1" applyAlignment="1" applyProtection="1">
      <alignment horizontal="right"/>
      <protection locked="0"/>
    </xf>
    <xf numFmtId="169" fontId="6" fillId="2" borderId="12" xfId="2" applyNumberFormat="1" applyFont="1" applyFill="1" applyBorder="1" applyAlignment="1" applyProtection="1">
      <alignment horizontal="right" vertical="center"/>
      <protection locked="0"/>
    </xf>
    <xf numFmtId="169" fontId="6" fillId="2" borderId="14" xfId="2" applyNumberFormat="1" applyFont="1" applyFill="1" applyBorder="1" applyAlignment="1" applyProtection="1">
      <alignment horizontal="right" vertical="center"/>
      <protection locked="0"/>
    </xf>
    <xf numFmtId="169" fontId="6" fillId="2" borderId="12" xfId="2" applyNumberFormat="1" applyFont="1" applyFill="1" applyBorder="1" applyAlignment="1" applyProtection="1">
      <alignment horizontal="right"/>
      <protection locked="0"/>
    </xf>
    <xf numFmtId="169" fontId="6" fillId="2" borderId="15" xfId="2" applyNumberFormat="1" applyFont="1" applyFill="1" applyBorder="1" applyAlignment="1" applyProtection="1">
      <alignment horizontal="right"/>
      <protection locked="0"/>
    </xf>
    <xf numFmtId="0" fontId="10" fillId="0" borderId="19" xfId="0" applyFont="1" applyBorder="1" applyAlignment="1">
      <alignment horizontal="center" vertical="center"/>
    </xf>
    <xf numFmtId="0" fontId="10" fillId="0" borderId="17" xfId="0" applyFont="1" applyBorder="1" applyAlignment="1">
      <alignment horizontal="center" vertical="center"/>
    </xf>
    <xf numFmtId="0" fontId="10" fillId="0" borderId="20" xfId="0" applyFont="1" applyBorder="1" applyAlignment="1">
      <alignment horizontal="center" vertical="center"/>
    </xf>
    <xf numFmtId="0" fontId="10" fillId="0" borderId="19" xfId="0" applyFont="1" applyBorder="1" applyAlignment="1" applyProtection="1">
      <alignment horizontal="center"/>
      <protection locked="0"/>
    </xf>
    <xf numFmtId="0" fontId="10" fillId="0" borderId="17" xfId="0" applyFont="1" applyBorder="1" applyAlignment="1" applyProtection="1">
      <alignment horizontal="center"/>
      <protection locked="0"/>
    </xf>
    <xf numFmtId="0" fontId="10" fillId="0" borderId="20" xfId="0" applyFont="1" applyBorder="1" applyAlignment="1" applyProtection="1">
      <alignment horizontal="center"/>
      <protection locked="0"/>
    </xf>
    <xf numFmtId="0" fontId="10" fillId="0" borderId="16" xfId="0" applyFont="1" applyBorder="1" applyAlignment="1" applyProtection="1">
      <alignment horizontal="left"/>
      <protection locked="0"/>
    </xf>
    <xf numFmtId="0" fontId="10" fillId="0" borderId="17" xfId="0" applyFont="1" applyBorder="1" applyAlignment="1" applyProtection="1">
      <alignment horizontal="left"/>
      <protection locked="0"/>
    </xf>
    <xf numFmtId="0" fontId="10" fillId="0" borderId="20" xfId="0" applyFont="1" applyBorder="1" applyAlignment="1" applyProtection="1">
      <alignment horizontal="left"/>
      <protection locked="0"/>
    </xf>
    <xf numFmtId="0" fontId="10" fillId="0" borderId="16" xfId="0" applyFont="1" applyBorder="1" applyAlignment="1" applyProtection="1">
      <alignment horizontal="left" vertical="center"/>
      <protection locked="0"/>
    </xf>
    <xf numFmtId="0" fontId="10" fillId="0" borderId="17" xfId="0" applyFont="1" applyBorder="1" applyAlignment="1" applyProtection="1">
      <alignment horizontal="left" vertical="center"/>
      <protection locked="0"/>
    </xf>
    <xf numFmtId="0" fontId="10" fillId="0" borderId="20" xfId="0" applyFont="1" applyBorder="1" applyAlignment="1" applyProtection="1">
      <alignment horizontal="left" vertical="center"/>
      <protection locked="0"/>
    </xf>
    <xf numFmtId="0" fontId="10" fillId="0" borderId="16" xfId="0" applyFont="1" applyBorder="1" applyAlignment="1">
      <alignment horizontal="left" vertical="center"/>
    </xf>
    <xf numFmtId="0" fontId="10" fillId="0" borderId="17" xfId="0" applyFont="1" applyBorder="1" applyAlignment="1">
      <alignment horizontal="left" vertical="center"/>
    </xf>
    <xf numFmtId="0" fontId="10" fillId="0" borderId="20" xfId="0" applyFont="1" applyBorder="1" applyAlignment="1">
      <alignment horizontal="left" vertical="center"/>
    </xf>
    <xf numFmtId="0" fontId="10" fillId="0" borderId="16" xfId="0" applyFont="1" applyBorder="1" applyAlignment="1">
      <alignment horizontal="right" vertical="center"/>
    </xf>
    <xf numFmtId="0" fontId="10" fillId="0" borderId="27"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49" xfId="0" applyFont="1" applyBorder="1" applyAlignment="1">
      <alignment horizontal="center" vertical="center"/>
    </xf>
    <xf numFmtId="165" fontId="10" fillId="0" borderId="2" xfId="0" applyNumberFormat="1" applyFont="1" applyBorder="1" applyAlignment="1">
      <alignment horizontal="center" vertical="center"/>
    </xf>
    <xf numFmtId="165" fontId="10" fillId="0" borderId="3" xfId="0" applyNumberFormat="1" applyFont="1" applyBorder="1" applyAlignment="1">
      <alignment horizontal="center" vertical="center"/>
    </xf>
    <xf numFmtId="165" fontId="10" fillId="0" borderId="4" xfId="0" applyNumberFormat="1" applyFont="1" applyBorder="1" applyAlignment="1">
      <alignment horizontal="center" vertical="center"/>
    </xf>
    <xf numFmtId="165" fontId="6" fillId="0" borderId="7" xfId="0" applyNumberFormat="1" applyFont="1" applyBorder="1" applyAlignment="1">
      <alignment horizontal="center" vertical="center"/>
    </xf>
    <xf numFmtId="165" fontId="6" fillId="0" borderId="9" xfId="0" applyNumberFormat="1" applyFont="1" applyBorder="1" applyAlignment="1">
      <alignment horizontal="center" vertical="center"/>
    </xf>
    <xf numFmtId="165" fontId="6" fillId="0" borderId="11" xfId="0" applyNumberFormat="1" applyFont="1" applyBorder="1" applyAlignment="1">
      <alignment horizontal="center" vertical="center"/>
    </xf>
    <xf numFmtId="169" fontId="6" fillId="2" borderId="18" xfId="2" applyNumberFormat="1" applyFont="1" applyFill="1" applyBorder="1" applyAlignment="1" applyProtection="1">
      <alignment horizontal="right" vertical="center"/>
    </xf>
    <xf numFmtId="3" fontId="6" fillId="0" borderId="19" xfId="0" applyNumberFormat="1" applyFont="1" applyBorder="1" applyAlignment="1">
      <alignment horizontal="right" vertical="center"/>
    </xf>
    <xf numFmtId="3" fontId="6" fillId="0" borderId="17" xfId="0" applyNumberFormat="1" applyFont="1" applyBorder="1" applyAlignment="1">
      <alignment horizontal="right" vertical="center"/>
    </xf>
    <xf numFmtId="3" fontId="6" fillId="0" borderId="20" xfId="0" applyNumberFormat="1" applyFont="1" applyBorder="1" applyAlignment="1">
      <alignment horizontal="right" vertical="center"/>
    </xf>
    <xf numFmtId="3" fontId="6" fillId="0" borderId="19" xfId="0" applyNumberFormat="1" applyFont="1" applyBorder="1" applyAlignment="1" applyProtection="1">
      <alignment vertical="center"/>
      <protection locked="0"/>
    </xf>
    <xf numFmtId="3" fontId="6" fillId="0" borderId="17" xfId="0" applyNumberFormat="1" applyFont="1" applyBorder="1" applyAlignment="1" applyProtection="1">
      <alignment vertical="center"/>
      <protection locked="0"/>
    </xf>
    <xf numFmtId="3" fontId="6" fillId="0" borderId="20" xfId="0" applyNumberFormat="1" applyFont="1" applyBorder="1" applyAlignment="1" applyProtection="1">
      <alignment vertical="center"/>
      <protection locked="0"/>
    </xf>
    <xf numFmtId="169" fontId="6" fillId="2" borderId="17" xfId="2" applyNumberFormat="1" applyFont="1" applyFill="1" applyBorder="1" applyAlignment="1" applyProtection="1">
      <alignment horizontal="right" vertical="center"/>
      <protection locked="0"/>
    </xf>
    <xf numFmtId="0" fontId="11" fillId="0" borderId="16" xfId="0" applyFont="1" applyBorder="1" applyProtection="1">
      <protection locked="0"/>
    </xf>
    <xf numFmtId="0" fontId="11" fillId="0" borderId="17" xfId="0" applyFont="1" applyBorder="1" applyProtection="1">
      <protection locked="0"/>
    </xf>
    <xf numFmtId="0" fontId="11" fillId="0" borderId="20" xfId="0" applyFont="1" applyBorder="1" applyProtection="1">
      <protection locked="0"/>
    </xf>
    <xf numFmtId="44" fontId="11" fillId="2" borderId="0" xfId="2" applyFont="1" applyFill="1" applyBorder="1" applyAlignment="1" applyProtection="1">
      <alignment horizontal="center"/>
      <protection locked="0"/>
    </xf>
    <xf numFmtId="44" fontId="11" fillId="2" borderId="6" xfId="2" applyFont="1" applyFill="1" applyBorder="1" applyAlignment="1">
      <alignment horizontal="center"/>
    </xf>
    <xf numFmtId="165" fontId="11" fillId="2" borderId="0" xfId="0" applyNumberFormat="1" applyFont="1" applyFill="1" applyAlignment="1" applyProtection="1">
      <alignment horizontal="center"/>
      <protection locked="0"/>
    </xf>
    <xf numFmtId="0" fontId="11" fillId="2" borderId="6" xfId="0" applyFont="1" applyFill="1" applyBorder="1" applyAlignment="1">
      <alignment horizontal="center"/>
    </xf>
    <xf numFmtId="169" fontId="6" fillId="2" borderId="15" xfId="2" applyNumberFormat="1" applyFont="1" applyFill="1" applyBorder="1" applyAlignment="1" applyProtection="1">
      <alignment horizontal="right" vertical="center"/>
      <protection locked="0"/>
    </xf>
    <xf numFmtId="169" fontId="6" fillId="0" borderId="16" xfId="2" applyNumberFormat="1" applyFont="1" applyFill="1" applyBorder="1" applyAlignment="1" applyProtection="1">
      <alignment horizontal="right"/>
    </xf>
    <xf numFmtId="169" fontId="6" fillId="0" borderId="20" xfId="2" applyNumberFormat="1" applyFont="1" applyFill="1" applyBorder="1" applyAlignment="1" applyProtection="1">
      <alignment horizontal="right"/>
    </xf>
    <xf numFmtId="169" fontId="6" fillId="0" borderId="21" xfId="2" applyNumberFormat="1" applyFont="1" applyFill="1" applyBorder="1" applyAlignment="1" applyProtection="1">
      <alignment horizontal="right"/>
    </xf>
    <xf numFmtId="169" fontId="6" fillId="0" borderId="22" xfId="2" applyNumberFormat="1" applyFont="1" applyFill="1" applyBorder="1" applyAlignment="1" applyProtection="1">
      <alignment horizontal="right"/>
    </xf>
    <xf numFmtId="165" fontId="11" fillId="0" borderId="0" xfId="0" applyNumberFormat="1" applyFont="1" applyAlignment="1" applyProtection="1">
      <alignment horizontal="center" vertical="center"/>
      <protection locked="0"/>
    </xf>
    <xf numFmtId="165" fontId="10" fillId="0" borderId="0" xfId="0" applyNumberFormat="1" applyFont="1" applyAlignment="1" applyProtection="1">
      <alignment horizontal="center" vertical="center"/>
      <protection locked="0"/>
    </xf>
    <xf numFmtId="165" fontId="10" fillId="0" borderId="6" xfId="0" applyNumberFormat="1" applyFont="1" applyBorder="1" applyAlignment="1" applyProtection="1">
      <alignment horizontal="center" vertical="center"/>
      <protection locked="0"/>
    </xf>
    <xf numFmtId="3" fontId="6" fillId="0" borderId="10" xfId="0" applyNumberFormat="1" applyFont="1" applyBorder="1" applyAlignment="1" applyProtection="1">
      <alignment vertical="center"/>
      <protection locked="0"/>
    </xf>
    <xf numFmtId="3" fontId="6" fillId="0" borderId="8" xfId="0" applyNumberFormat="1" applyFont="1" applyBorder="1" applyAlignment="1" applyProtection="1">
      <alignment vertical="center"/>
      <protection locked="0"/>
    </xf>
    <xf numFmtId="3" fontId="6" fillId="0" borderId="11" xfId="0" applyNumberFormat="1" applyFont="1" applyBorder="1" applyAlignment="1" applyProtection="1">
      <alignment vertical="center"/>
      <protection locked="0"/>
    </xf>
    <xf numFmtId="165" fontId="6" fillId="0" borderId="16" xfId="0" applyNumberFormat="1" applyFont="1" applyBorder="1" applyAlignment="1" applyProtection="1">
      <alignment horizontal="left" vertical="center"/>
      <protection locked="0"/>
    </xf>
    <xf numFmtId="165" fontId="6" fillId="0" borderId="17" xfId="0" applyNumberFormat="1" applyFont="1" applyBorder="1" applyAlignment="1" applyProtection="1">
      <alignment horizontal="left" vertical="center"/>
      <protection locked="0"/>
    </xf>
    <xf numFmtId="165" fontId="6" fillId="0" borderId="20" xfId="0" applyNumberFormat="1" applyFont="1" applyBorder="1" applyAlignment="1" applyProtection="1">
      <alignment horizontal="left" vertical="center"/>
      <protection locked="0"/>
    </xf>
    <xf numFmtId="3" fontId="10" fillId="0" borderId="17" xfId="0" applyNumberFormat="1" applyFont="1" applyBorder="1" applyAlignment="1">
      <alignment horizontal="center" vertical="center"/>
    </xf>
    <xf numFmtId="3" fontId="10" fillId="0" borderId="20" xfId="0" applyNumberFormat="1" applyFont="1" applyBorder="1" applyAlignment="1">
      <alignment horizontal="center" vertical="center"/>
    </xf>
    <xf numFmtId="3" fontId="10" fillId="0" borderId="13" xfId="0" applyNumberFormat="1" applyFont="1" applyBorder="1" applyAlignment="1">
      <alignment horizontal="center" vertical="center"/>
    </xf>
    <xf numFmtId="3" fontId="10" fillId="0" borderId="50" xfId="0" applyNumberFormat="1" applyFont="1" applyBorder="1" applyAlignment="1">
      <alignment horizontal="center" vertical="center"/>
    </xf>
    <xf numFmtId="165" fontId="10" fillId="0" borderId="13" xfId="0" applyNumberFormat="1" applyFont="1" applyBorder="1" applyAlignment="1">
      <alignment horizontal="center" vertical="center"/>
    </xf>
    <xf numFmtId="165" fontId="10" fillId="0" borderId="50" xfId="0" applyNumberFormat="1" applyFont="1" applyBorder="1" applyAlignment="1">
      <alignment horizontal="center" vertical="center"/>
    </xf>
    <xf numFmtId="165" fontId="6" fillId="0" borderId="5" xfId="0" applyNumberFormat="1" applyFont="1" applyBorder="1" applyAlignment="1">
      <alignment horizontal="center" vertical="center" shrinkToFit="1"/>
    </xf>
    <xf numFmtId="165" fontId="6" fillId="0" borderId="6" xfId="0" applyNumberFormat="1" applyFont="1" applyBorder="1" applyAlignment="1">
      <alignment horizontal="center" vertical="center" shrinkToFit="1"/>
    </xf>
    <xf numFmtId="165" fontId="6" fillId="0" borderId="7" xfId="0" applyNumberFormat="1" applyFont="1" applyBorder="1" applyAlignment="1">
      <alignment horizontal="center" vertical="center" shrinkToFit="1"/>
    </xf>
    <xf numFmtId="165" fontId="6" fillId="0" borderId="11" xfId="0" applyNumberFormat="1" applyFont="1" applyBorder="1" applyAlignment="1">
      <alignment horizontal="center" vertical="center" shrinkToFit="1"/>
    </xf>
    <xf numFmtId="165" fontId="6" fillId="0" borderId="5" xfId="0" applyNumberFormat="1" applyFont="1" applyBorder="1" applyAlignment="1">
      <alignment horizontal="center" vertical="center"/>
    </xf>
    <xf numFmtId="165" fontId="6" fillId="0" borderId="6" xfId="0" applyNumberFormat="1" applyFont="1" applyBorder="1" applyAlignment="1">
      <alignment horizontal="center" vertical="center"/>
    </xf>
    <xf numFmtId="165" fontId="6" fillId="0" borderId="16" xfId="0" applyNumberFormat="1" applyFont="1" applyBorder="1" applyAlignment="1">
      <alignment horizontal="center" vertical="center"/>
    </xf>
    <xf numFmtId="165" fontId="11" fillId="0" borderId="17" xfId="0" applyNumberFormat="1" applyFont="1" applyBorder="1" applyAlignment="1">
      <alignment horizontal="center" vertical="center"/>
    </xf>
    <xf numFmtId="165" fontId="11" fillId="0" borderId="20" xfId="0" applyNumberFormat="1" applyFont="1" applyBorder="1" applyAlignment="1">
      <alignment horizontal="center" vertical="center"/>
    </xf>
    <xf numFmtId="3" fontId="11" fillId="2" borderId="16" xfId="0" applyNumberFormat="1" applyFont="1" applyFill="1" applyBorder="1" applyAlignment="1" applyProtection="1">
      <alignment horizontal="center"/>
      <protection locked="0"/>
    </xf>
    <xf numFmtId="3" fontId="11" fillId="2" borderId="17" xfId="0" applyNumberFormat="1" applyFont="1" applyFill="1" applyBorder="1" applyAlignment="1" applyProtection="1">
      <alignment horizontal="center"/>
      <protection locked="0"/>
    </xf>
    <xf numFmtId="3" fontId="11" fillId="2" borderId="20" xfId="0" applyNumberFormat="1" applyFont="1" applyFill="1" applyBorder="1" applyAlignment="1" applyProtection="1">
      <alignment horizontal="center"/>
      <protection locked="0"/>
    </xf>
    <xf numFmtId="7" fontId="11" fillId="2" borderId="16" xfId="2" applyNumberFormat="1" applyFont="1" applyFill="1" applyBorder="1" applyAlignment="1" applyProtection="1">
      <alignment horizontal="center"/>
      <protection locked="0"/>
    </xf>
    <xf numFmtId="7" fontId="11" fillId="2" borderId="20" xfId="2" applyNumberFormat="1" applyFont="1" applyFill="1" applyBorder="1" applyAlignment="1" applyProtection="1">
      <alignment horizontal="center"/>
      <protection locked="0"/>
    </xf>
    <xf numFmtId="7" fontId="6" fillId="2" borderId="16" xfId="2" applyNumberFormat="1" applyFont="1" applyFill="1" applyBorder="1" applyAlignment="1" applyProtection="1">
      <alignment horizontal="center"/>
      <protection locked="0"/>
    </xf>
    <xf numFmtId="165" fontId="11" fillId="0" borderId="23" xfId="0" applyNumberFormat="1" applyFont="1" applyBorder="1" applyAlignment="1">
      <alignment horizontal="center" vertical="center" shrinkToFit="1"/>
    </xf>
    <xf numFmtId="165" fontId="11" fillId="0" borderId="24" xfId="0" applyNumberFormat="1" applyFont="1" applyBorder="1" applyAlignment="1">
      <alignment horizontal="center" vertical="center" shrinkToFit="1"/>
    </xf>
    <xf numFmtId="165" fontId="6" fillId="0" borderId="0" xfId="0" applyNumberFormat="1" applyFont="1" applyAlignment="1">
      <alignment horizontal="center" vertical="center" shrinkToFit="1"/>
    </xf>
    <xf numFmtId="165" fontId="6" fillId="0" borderId="8" xfId="0" applyNumberFormat="1" applyFont="1" applyBorder="1" applyAlignment="1">
      <alignment horizontal="center" vertical="center" shrinkToFit="1"/>
    </xf>
    <xf numFmtId="165" fontId="6" fillId="0" borderId="23" xfId="0" applyNumberFormat="1" applyFont="1" applyBorder="1" applyAlignment="1">
      <alignment horizontal="center" vertical="center" shrinkToFit="1"/>
    </xf>
    <xf numFmtId="165" fontId="6" fillId="0" borderId="24" xfId="0" applyNumberFormat="1" applyFont="1" applyBorder="1" applyAlignment="1">
      <alignment horizontal="center" vertical="center" shrinkToFit="1"/>
    </xf>
    <xf numFmtId="0" fontId="11" fillId="0" borderId="1" xfId="0" applyFont="1" applyBorder="1" applyAlignment="1">
      <alignment horizontal="center" vertical="center" wrapText="1"/>
    </xf>
    <xf numFmtId="165" fontId="6" fillId="0" borderId="0" xfId="0" applyNumberFormat="1" applyFont="1" applyAlignment="1" applyProtection="1">
      <alignment horizontal="center" vertical="center"/>
      <protection locked="0"/>
    </xf>
    <xf numFmtId="3" fontId="6" fillId="0" borderId="16" xfId="0" applyNumberFormat="1" applyFont="1" applyBorder="1" applyAlignment="1">
      <alignment horizontal="center" vertical="center"/>
    </xf>
    <xf numFmtId="3" fontId="11" fillId="0" borderId="17" xfId="0" applyNumberFormat="1" applyFont="1" applyBorder="1" applyAlignment="1">
      <alignment horizontal="center" vertical="center"/>
    </xf>
    <xf numFmtId="3" fontId="11" fillId="0" borderId="20" xfId="0" applyNumberFormat="1" applyFont="1" applyBorder="1" applyAlignment="1">
      <alignment horizontal="center" vertical="center"/>
    </xf>
    <xf numFmtId="3" fontId="11" fillId="0" borderId="17" xfId="0" applyNumberFormat="1" applyFont="1" applyBorder="1" applyAlignment="1" applyProtection="1">
      <alignment horizontal="center"/>
      <protection locked="0"/>
    </xf>
    <xf numFmtId="44" fontId="11" fillId="0" borderId="17" xfId="2" applyFont="1" applyFill="1" applyBorder="1" applyAlignment="1" applyProtection="1">
      <alignment horizontal="center"/>
      <protection locked="0"/>
    </xf>
    <xf numFmtId="7" fontId="6" fillId="0" borderId="17" xfId="2" applyNumberFormat="1" applyFont="1" applyFill="1" applyBorder="1" applyAlignment="1" applyProtection="1">
      <alignment horizontal="center"/>
    </xf>
    <xf numFmtId="7" fontId="11" fillId="0" borderId="17" xfId="2" applyNumberFormat="1" applyFont="1" applyFill="1" applyBorder="1" applyAlignment="1" applyProtection="1">
      <alignment horizontal="center"/>
    </xf>
    <xf numFmtId="165" fontId="6" fillId="0" borderId="16" xfId="0" applyNumberFormat="1" applyFont="1" applyBorder="1" applyAlignment="1">
      <alignment horizontal="right" vertical="center"/>
    </xf>
    <xf numFmtId="165" fontId="6" fillId="0" borderId="17" xfId="0" applyNumberFormat="1" applyFont="1" applyBorder="1" applyAlignment="1">
      <alignment horizontal="right" vertical="center"/>
    </xf>
    <xf numFmtId="165" fontId="6" fillId="0" borderId="20" xfId="0" applyNumberFormat="1" applyFont="1" applyBorder="1" applyAlignment="1">
      <alignment horizontal="right" vertical="center"/>
    </xf>
    <xf numFmtId="165" fontId="6" fillId="0" borderId="16" xfId="0" applyNumberFormat="1" applyFont="1" applyBorder="1" applyAlignment="1" applyProtection="1">
      <alignment vertical="center"/>
      <protection locked="0"/>
    </xf>
    <xf numFmtId="165" fontId="6" fillId="0" borderId="17" xfId="0" applyNumberFormat="1" applyFont="1" applyBorder="1" applyAlignment="1" applyProtection="1">
      <alignment vertical="center"/>
      <protection locked="0"/>
    </xf>
    <xf numFmtId="165" fontId="6" fillId="0" borderId="20" xfId="0" applyNumberFormat="1" applyFont="1" applyBorder="1" applyAlignment="1" applyProtection="1">
      <alignment vertical="center"/>
      <protection locked="0"/>
    </xf>
    <xf numFmtId="7" fontId="11" fillId="0" borderId="13" xfId="2" applyNumberFormat="1" applyFont="1" applyFill="1" applyBorder="1" applyAlignment="1" applyProtection="1">
      <alignment horizontal="left"/>
    </xf>
    <xf numFmtId="169" fontId="6" fillId="2" borderId="16" xfId="1" applyNumberFormat="1" applyFont="1" applyFill="1" applyBorder="1" applyAlignment="1" applyProtection="1">
      <alignment horizontal="right" vertical="center"/>
      <protection locked="0"/>
    </xf>
    <xf numFmtId="169" fontId="6" fillId="2" borderId="20" xfId="1" applyNumberFormat="1" applyFont="1" applyFill="1" applyBorder="1" applyAlignment="1" applyProtection="1">
      <alignment horizontal="right" vertical="center"/>
      <protection locked="0"/>
    </xf>
    <xf numFmtId="0" fontId="10" fillId="0" borderId="25"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4" xfId="0" applyFont="1" applyBorder="1" applyAlignment="1">
      <alignment horizontal="center" vertical="center" wrapText="1"/>
    </xf>
    <xf numFmtId="169" fontId="11" fillId="2" borderId="16" xfId="2" applyNumberFormat="1" applyFont="1" applyFill="1" applyBorder="1" applyAlignment="1" applyProtection="1">
      <alignment horizontal="right" indent="1"/>
      <protection locked="0"/>
    </xf>
    <xf numFmtId="169" fontId="11" fillId="2" borderId="20" xfId="2" applyNumberFormat="1" applyFont="1" applyFill="1" applyBorder="1" applyAlignment="1" applyProtection="1">
      <alignment horizontal="right" indent="1"/>
      <protection locked="0"/>
    </xf>
    <xf numFmtId="0" fontId="11" fillId="2" borderId="16" xfId="0" applyFont="1" applyFill="1" applyBorder="1" applyAlignment="1" applyProtection="1">
      <alignment horizontal="center"/>
      <protection locked="0"/>
    </xf>
    <xf numFmtId="0" fontId="11" fillId="2" borderId="20" xfId="0" applyFont="1" applyFill="1" applyBorder="1" applyAlignment="1" applyProtection="1">
      <alignment horizontal="center"/>
      <protection locked="0"/>
    </xf>
    <xf numFmtId="0" fontId="10" fillId="0" borderId="25" xfId="0" applyFont="1" applyBorder="1" applyAlignment="1">
      <alignment horizontal="center" vertical="center"/>
    </xf>
    <xf numFmtId="169" fontId="11" fillId="0" borderId="17" xfId="2" applyNumberFormat="1" applyFont="1" applyFill="1" applyBorder="1" applyAlignment="1" applyProtection="1">
      <alignment horizontal="right" indent="1"/>
      <protection hidden="1"/>
    </xf>
    <xf numFmtId="0" fontId="11" fillId="0" borderId="17" xfId="0" applyFont="1" applyBorder="1" applyAlignment="1">
      <alignment horizontal="center"/>
    </xf>
    <xf numFmtId="0" fontId="10" fillId="0" borderId="16" xfId="0" applyFont="1" applyBorder="1" applyAlignment="1">
      <alignment horizontal="center" vertical="center"/>
    </xf>
    <xf numFmtId="169" fontId="11" fillId="0" borderId="16" xfId="1" applyNumberFormat="1" applyFont="1" applyFill="1" applyBorder="1" applyAlignment="1" applyProtection="1">
      <alignment horizontal="right" indent="1"/>
      <protection locked="0"/>
    </xf>
    <xf numFmtId="169" fontId="11" fillId="0" borderId="17" xfId="1" applyNumberFormat="1" applyFont="1" applyFill="1" applyBorder="1" applyAlignment="1" applyProtection="1">
      <alignment horizontal="right" indent="1"/>
      <protection locked="0"/>
    </xf>
    <xf numFmtId="169" fontId="11" fillId="0" borderId="20" xfId="1" applyNumberFormat="1" applyFont="1" applyFill="1" applyBorder="1" applyAlignment="1" applyProtection="1">
      <alignment horizontal="right" indent="1"/>
      <protection locked="0"/>
    </xf>
    <xf numFmtId="0" fontId="10" fillId="0" borderId="25" xfId="0" applyFont="1" applyBorder="1"/>
    <xf numFmtId="0" fontId="10" fillId="0" borderId="26" xfId="0" applyFont="1" applyBorder="1" applyAlignment="1">
      <alignment horizontal="center" vertical="center"/>
    </xf>
    <xf numFmtId="49" fontId="10" fillId="0" borderId="25" xfId="0" applyNumberFormat="1" applyFont="1" applyBorder="1" applyAlignment="1">
      <alignment horizontal="center" vertical="center" wrapText="1"/>
    </xf>
    <xf numFmtId="0" fontId="10" fillId="0" borderId="24" xfId="0" applyFont="1" applyBorder="1" applyAlignment="1">
      <alignment horizontal="center" vertical="center"/>
    </xf>
    <xf numFmtId="0" fontId="10" fillId="0" borderId="23" xfId="0" applyFont="1" applyBorder="1" applyAlignment="1">
      <alignment horizontal="center" vertical="center"/>
    </xf>
    <xf numFmtId="49" fontId="10" fillId="0" borderId="24" xfId="0" applyNumberFormat="1" applyFont="1" applyBorder="1" applyAlignment="1">
      <alignment horizontal="center" vertical="center" wrapText="1"/>
    </xf>
    <xf numFmtId="0" fontId="10" fillId="0" borderId="7"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169" fontId="11" fillId="2" borderId="16" xfId="1" applyNumberFormat="1" applyFont="1" applyFill="1" applyBorder="1" applyAlignment="1" applyProtection="1">
      <alignment horizontal="right"/>
      <protection locked="0"/>
    </xf>
    <xf numFmtId="169" fontId="11" fillId="2" borderId="20" xfId="1" applyNumberFormat="1" applyFont="1" applyFill="1" applyBorder="1" applyAlignment="1" applyProtection="1">
      <alignment horizontal="right"/>
      <protection locked="0"/>
    </xf>
    <xf numFmtId="0" fontId="17" fillId="0" borderId="0" xfId="0" applyFont="1" applyAlignment="1">
      <alignment horizontal="center" vertical="center" wrapText="1"/>
    </xf>
    <xf numFmtId="0" fontId="10" fillId="0" borderId="0" xfId="0" applyFont="1" applyAlignment="1">
      <alignment horizontal="center" vertical="center" wrapText="1"/>
    </xf>
    <xf numFmtId="169" fontId="11" fillId="0" borderId="13" xfId="1" applyNumberFormat="1" applyFont="1" applyFill="1" applyBorder="1" applyAlignment="1" applyProtection="1">
      <alignment horizontal="right"/>
    </xf>
    <xf numFmtId="0" fontId="16" fillId="0" borderId="51" xfId="0" applyFont="1" applyBorder="1" applyAlignment="1">
      <alignment horizontal="center"/>
    </xf>
    <xf numFmtId="0" fontId="16" fillId="0" borderId="46" xfId="0" applyFont="1" applyBorder="1" applyAlignment="1">
      <alignment horizontal="center"/>
    </xf>
    <xf numFmtId="0" fontId="16" fillId="0" borderId="54" xfId="0" applyFont="1" applyBorder="1" applyAlignment="1">
      <alignment horizontal="center"/>
    </xf>
    <xf numFmtId="0" fontId="11" fillId="0" borderId="13" xfId="0" applyFont="1" applyBorder="1" applyAlignment="1" applyProtection="1">
      <alignment horizontal="center"/>
      <protection locked="0"/>
    </xf>
    <xf numFmtId="169" fontId="11" fillId="0" borderId="13" xfId="2" applyNumberFormat="1" applyFont="1" applyFill="1" applyBorder="1" applyAlignment="1" applyProtection="1">
      <alignment horizontal="right"/>
    </xf>
    <xf numFmtId="169" fontId="11" fillId="2" borderId="16" xfId="0" applyNumberFormat="1" applyFont="1" applyFill="1" applyBorder="1" applyAlignment="1" applyProtection="1">
      <alignment horizontal="right"/>
      <protection locked="0"/>
    </xf>
    <xf numFmtId="169" fontId="11" fillId="2" borderId="20" xfId="0" applyNumberFormat="1" applyFont="1" applyFill="1" applyBorder="1" applyAlignment="1" applyProtection="1">
      <alignment horizontal="right"/>
      <protection locked="0"/>
    </xf>
    <xf numFmtId="168" fontId="11" fillId="2" borderId="16" xfId="1" applyNumberFormat="1" applyFont="1" applyFill="1" applyBorder="1" applyAlignment="1" applyProtection="1">
      <alignment horizontal="right"/>
      <protection locked="0"/>
    </xf>
    <xf numFmtId="168" fontId="11" fillId="2" borderId="20" xfId="1" applyNumberFormat="1" applyFont="1" applyFill="1" applyBorder="1" applyAlignment="1" applyProtection="1">
      <alignment horizontal="right"/>
      <protection locked="0"/>
    </xf>
    <xf numFmtId="165" fontId="11" fillId="0" borderId="4" xfId="0" applyNumberFormat="1" applyFont="1" applyBorder="1"/>
    <xf numFmtId="165" fontId="6" fillId="0" borderId="23" xfId="0" applyNumberFormat="1" applyFont="1" applyBorder="1" applyAlignment="1">
      <alignment horizontal="center" vertical="center" wrapText="1"/>
    </xf>
    <xf numFmtId="165" fontId="6" fillId="0" borderId="24" xfId="0" applyNumberFormat="1" applyFont="1" applyBorder="1" applyAlignment="1">
      <alignment horizontal="center" vertical="center" wrapText="1"/>
    </xf>
    <xf numFmtId="165" fontId="6" fillId="0" borderId="5" xfId="0" applyNumberFormat="1" applyFont="1" applyBorder="1" applyAlignment="1">
      <alignment horizontal="center" vertical="center" wrapText="1"/>
    </xf>
    <xf numFmtId="165" fontId="11" fillId="0" borderId="6" xfId="0" applyNumberFormat="1" applyFont="1" applyBorder="1" applyAlignment="1">
      <alignment horizontal="center" vertical="center" wrapText="1"/>
    </xf>
    <xf numFmtId="165" fontId="11" fillId="2" borderId="8" xfId="0" applyNumberFormat="1" applyFont="1" applyFill="1" applyBorder="1" applyAlignment="1" applyProtection="1">
      <alignment horizontal="center"/>
      <protection locked="0"/>
    </xf>
    <xf numFmtId="165" fontId="11" fillId="0" borderId="8" xfId="0" applyNumberFormat="1" applyFont="1" applyBorder="1" applyAlignment="1" applyProtection="1">
      <alignment horizontal="center"/>
      <protection locked="0"/>
    </xf>
    <xf numFmtId="168" fontId="11" fillId="0" borderId="13" xfId="2" applyNumberFormat="1" applyFont="1" applyFill="1" applyBorder="1" applyAlignment="1" applyProtection="1">
      <alignment horizontal="right"/>
    </xf>
    <xf numFmtId="165" fontId="10" fillId="0" borderId="2" xfId="0" applyNumberFormat="1" applyFont="1" applyBorder="1" applyAlignment="1" applyProtection="1">
      <alignment horizontal="center" vertical="center"/>
      <protection locked="0"/>
    </xf>
    <xf numFmtId="165" fontId="10" fillId="0" borderId="3" xfId="0" applyNumberFormat="1" applyFont="1" applyBorder="1" applyAlignment="1" applyProtection="1">
      <alignment horizontal="center" vertical="center"/>
      <protection locked="0"/>
    </xf>
    <xf numFmtId="165" fontId="11" fillId="0" borderId="4" xfId="0" applyNumberFormat="1" applyFont="1" applyBorder="1" applyProtection="1">
      <protection locked="0"/>
    </xf>
    <xf numFmtId="44" fontId="12" fillId="0" borderId="30" xfId="6" applyFont="1" applyBorder="1" applyAlignment="1" applyProtection="1">
      <alignment horizontal="center"/>
      <protection locked="0"/>
    </xf>
    <xf numFmtId="44" fontId="12" fillId="0" borderId="5" xfId="6" applyFont="1" applyBorder="1" applyAlignment="1" applyProtection="1">
      <alignment horizontal="center"/>
      <protection locked="0"/>
    </xf>
    <xf numFmtId="168" fontId="12" fillId="2" borderId="31" xfId="6" applyNumberFormat="1" applyFont="1" applyFill="1" applyBorder="1" applyAlignment="1" applyProtection="1">
      <alignment horizontal="center"/>
      <protection locked="0"/>
    </xf>
    <xf numFmtId="168" fontId="12" fillId="2" borderId="6" xfId="6" applyNumberFormat="1" applyFont="1" applyFill="1" applyBorder="1" applyAlignment="1" applyProtection="1">
      <alignment horizontal="center"/>
      <protection locked="0"/>
    </xf>
    <xf numFmtId="168" fontId="12" fillId="0" borderId="42" xfId="0" applyNumberFormat="1" applyFont="1" applyBorder="1" applyAlignment="1" applyProtection="1">
      <alignment horizontal="center" vertical="center"/>
      <protection hidden="1"/>
    </xf>
    <xf numFmtId="168" fontId="12" fillId="0" borderId="23" xfId="0" applyNumberFormat="1" applyFont="1" applyBorder="1" applyAlignment="1" applyProtection="1">
      <alignment horizontal="center" vertical="center"/>
      <protection hidden="1"/>
    </xf>
    <xf numFmtId="168" fontId="12" fillId="0" borderId="40" xfId="0" applyNumberFormat="1" applyFont="1" applyBorder="1" applyAlignment="1" applyProtection="1">
      <alignment horizontal="center" vertical="center"/>
      <protection hidden="1"/>
    </xf>
    <xf numFmtId="0" fontId="12" fillId="2" borderId="35" xfId="0" applyFont="1" applyFill="1" applyBorder="1" applyAlignment="1" applyProtection="1">
      <alignment horizontal="center" vertical="center" wrapText="1"/>
      <protection locked="0"/>
    </xf>
    <xf numFmtId="0" fontId="12" fillId="2" borderId="43" xfId="0" applyFont="1" applyFill="1" applyBorder="1" applyAlignment="1" applyProtection="1">
      <alignment horizontal="center" vertical="center" wrapText="1"/>
      <protection locked="0"/>
    </xf>
    <xf numFmtId="0" fontId="12" fillId="2" borderId="41" xfId="0" applyFont="1" applyFill="1" applyBorder="1" applyAlignment="1" applyProtection="1">
      <alignment horizontal="center" vertical="center" wrapText="1"/>
      <protection locked="0"/>
    </xf>
    <xf numFmtId="0" fontId="12" fillId="2" borderId="36" xfId="0" applyFont="1" applyFill="1" applyBorder="1" applyAlignment="1" applyProtection="1">
      <alignment horizontal="left"/>
      <protection locked="0"/>
    </xf>
    <xf numFmtId="0" fontId="12" fillId="2" borderId="8" xfId="0" applyFont="1" applyFill="1" applyBorder="1" applyAlignment="1" applyProtection="1">
      <alignment horizontal="left"/>
      <protection locked="0"/>
    </xf>
    <xf numFmtId="0" fontId="12" fillId="2" borderId="11" xfId="0" applyFont="1" applyFill="1" applyBorder="1" applyAlignment="1" applyProtection="1">
      <alignment horizontal="left"/>
      <protection locked="0"/>
    </xf>
    <xf numFmtId="0" fontId="12" fillId="2" borderId="25" xfId="0" applyFont="1" applyFill="1" applyBorder="1" applyAlignment="1" applyProtection="1">
      <alignment horizontal="center"/>
      <protection locked="0"/>
    </xf>
    <xf numFmtId="0" fontId="12" fillId="2" borderId="46" xfId="0" applyFont="1" applyFill="1" applyBorder="1" applyAlignment="1" applyProtection="1">
      <alignment horizontal="center"/>
      <protection locked="0"/>
    </xf>
    <xf numFmtId="168" fontId="12" fillId="0" borderId="23" xfId="6" applyNumberFormat="1" applyFont="1" applyBorder="1" applyAlignment="1" applyProtection="1">
      <alignment horizontal="center" vertical="center"/>
      <protection locked="0"/>
    </xf>
    <xf numFmtId="168" fontId="12" fillId="0" borderId="40" xfId="6" applyNumberFormat="1" applyFont="1" applyBorder="1" applyAlignment="1" applyProtection="1">
      <alignment horizontal="center" vertical="center"/>
      <protection locked="0"/>
    </xf>
    <xf numFmtId="44" fontId="12" fillId="0" borderId="52" xfId="6" applyFont="1" applyBorder="1" applyAlignment="1" applyProtection="1">
      <alignment horizontal="center"/>
      <protection locked="0"/>
    </xf>
    <xf numFmtId="168" fontId="12" fillId="2" borderId="39" xfId="6" applyNumberFormat="1" applyFont="1" applyFill="1" applyBorder="1" applyAlignment="1" applyProtection="1">
      <alignment horizontal="center"/>
      <protection locked="0"/>
    </xf>
    <xf numFmtId="0" fontId="12" fillId="2" borderId="33" xfId="0" applyFont="1" applyFill="1" applyBorder="1" applyAlignment="1" applyProtection="1">
      <alignment horizontal="left"/>
      <protection locked="0"/>
    </xf>
    <xf numFmtId="0" fontId="12" fillId="2" borderId="34" xfId="0" applyFont="1" applyFill="1" applyBorder="1" applyAlignment="1" applyProtection="1">
      <alignment horizontal="left"/>
      <protection locked="0"/>
    </xf>
    <xf numFmtId="0" fontId="12" fillId="2" borderId="31" xfId="0" applyFont="1" applyFill="1" applyBorder="1" applyAlignment="1" applyProtection="1">
      <alignment horizontal="left"/>
      <protection locked="0"/>
    </xf>
    <xf numFmtId="0" fontId="12" fillId="2" borderId="42" xfId="0" applyFont="1" applyFill="1" applyBorder="1" applyAlignment="1" applyProtection="1">
      <alignment horizontal="center" vertical="center"/>
      <protection locked="0"/>
    </xf>
    <xf numFmtId="0" fontId="12" fillId="2" borderId="23" xfId="0" applyFont="1" applyFill="1" applyBorder="1" applyAlignment="1" applyProtection="1">
      <alignment horizontal="center" vertical="center"/>
      <protection locked="0"/>
    </xf>
    <xf numFmtId="0" fontId="12" fillId="2" borderId="40" xfId="0" applyFont="1" applyFill="1" applyBorder="1" applyAlignment="1" applyProtection="1">
      <alignment horizontal="center" vertical="center"/>
      <protection locked="0"/>
    </xf>
    <xf numFmtId="9" fontId="12" fillId="2" borderId="42" xfId="0" applyNumberFormat="1" applyFont="1" applyFill="1" applyBorder="1" applyAlignment="1" applyProtection="1">
      <alignment horizontal="center" vertical="center"/>
      <protection locked="0"/>
    </xf>
    <xf numFmtId="9" fontId="12" fillId="2" borderId="23" xfId="0" applyNumberFormat="1" applyFont="1" applyFill="1" applyBorder="1" applyAlignment="1" applyProtection="1">
      <alignment horizontal="center" vertical="center"/>
      <protection locked="0"/>
    </xf>
    <xf numFmtId="9" fontId="12" fillId="2" borderId="40" xfId="0" applyNumberFormat="1" applyFont="1" applyFill="1" applyBorder="1" applyAlignment="1" applyProtection="1">
      <alignment horizontal="center" vertical="center"/>
      <protection locked="0"/>
    </xf>
    <xf numFmtId="5" fontId="12" fillId="2" borderId="42" xfId="6" applyNumberFormat="1" applyFont="1" applyFill="1" applyBorder="1" applyAlignment="1" applyProtection="1">
      <alignment horizontal="center" vertical="center"/>
      <protection locked="0"/>
    </xf>
    <xf numFmtId="5" fontId="12" fillId="2" borderId="23" xfId="6" applyNumberFormat="1" applyFont="1" applyFill="1" applyBorder="1" applyAlignment="1" applyProtection="1">
      <alignment horizontal="center" vertical="center"/>
      <protection locked="0"/>
    </xf>
    <xf numFmtId="5" fontId="12" fillId="2" borderId="40" xfId="6" applyNumberFormat="1" applyFont="1" applyFill="1" applyBorder="1" applyAlignment="1" applyProtection="1">
      <alignment horizontal="center" vertical="center"/>
      <protection locked="0"/>
    </xf>
    <xf numFmtId="0" fontId="12" fillId="2" borderId="53" xfId="0" applyFont="1" applyFill="1" applyBorder="1" applyAlignment="1" applyProtection="1">
      <alignment horizontal="center"/>
      <protection locked="0"/>
    </xf>
    <xf numFmtId="168" fontId="12" fillId="2" borderId="42" xfId="6" applyNumberFormat="1" applyFont="1" applyFill="1" applyBorder="1" applyAlignment="1" applyProtection="1">
      <alignment horizontal="center" vertical="center"/>
      <protection locked="0"/>
    </xf>
    <xf numFmtId="168" fontId="12" fillId="2" borderId="23" xfId="6" applyNumberFormat="1" applyFont="1" applyFill="1" applyBorder="1" applyAlignment="1" applyProtection="1">
      <alignment horizontal="center" vertical="center"/>
      <protection locked="0"/>
    </xf>
    <xf numFmtId="168" fontId="12" fillId="2" borderId="40" xfId="6" applyNumberFormat="1" applyFont="1" applyFill="1" applyBorder="1" applyAlignment="1" applyProtection="1">
      <alignment horizontal="center" vertical="center"/>
      <protection locked="0"/>
    </xf>
    <xf numFmtId="5" fontId="12" fillId="2" borderId="42" xfId="6" quotePrefix="1" applyNumberFormat="1" applyFont="1" applyFill="1" applyBorder="1" applyAlignment="1" applyProtection="1">
      <alignment horizontal="center" vertical="center"/>
      <protection locked="0"/>
    </xf>
    <xf numFmtId="5" fontId="12" fillId="2" borderId="23" xfId="6" quotePrefix="1" applyNumberFormat="1" applyFont="1" applyFill="1" applyBorder="1" applyAlignment="1" applyProtection="1">
      <alignment horizontal="center" vertical="center"/>
      <protection locked="0"/>
    </xf>
    <xf numFmtId="5" fontId="12" fillId="2" borderId="40" xfId="6" quotePrefix="1" applyNumberFormat="1" applyFont="1" applyFill="1" applyBorder="1" applyAlignment="1" applyProtection="1">
      <alignment horizontal="center" vertical="center"/>
      <protection locked="0"/>
    </xf>
    <xf numFmtId="0" fontId="12" fillId="0" borderId="37" xfId="0" applyFont="1" applyBorder="1" applyAlignment="1" applyProtection="1">
      <alignment horizontal="center"/>
      <protection hidden="1"/>
    </xf>
    <xf numFmtId="0" fontId="12" fillId="0" borderId="13" xfId="0" applyFont="1" applyBorder="1" applyAlignment="1" applyProtection="1">
      <alignment horizontal="center"/>
      <protection hidden="1"/>
    </xf>
    <xf numFmtId="0" fontId="12" fillId="0" borderId="15" xfId="0" applyFont="1" applyBorder="1" applyAlignment="1" applyProtection="1">
      <alignment horizontal="center"/>
      <protection hidden="1"/>
    </xf>
    <xf numFmtId="0" fontId="12" fillId="0" borderId="34" xfId="0" applyFont="1" applyBorder="1" applyAlignment="1" applyProtection="1">
      <alignment horizontal="center"/>
      <protection hidden="1"/>
    </xf>
    <xf numFmtId="0" fontId="12" fillId="0" borderId="31" xfId="0" applyFont="1" applyBorder="1" applyAlignment="1" applyProtection="1">
      <alignment horizontal="center"/>
      <protection hidden="1"/>
    </xf>
    <xf numFmtId="0" fontId="12" fillId="0" borderId="35" xfId="0" applyFont="1" applyBorder="1" applyAlignment="1" applyProtection="1">
      <alignment horizontal="center" vertical="center" wrapText="1"/>
      <protection hidden="1"/>
    </xf>
    <xf numFmtId="0" fontId="12" fillId="0" borderId="43" xfId="0" applyFont="1" applyBorder="1" applyAlignment="1" applyProtection="1">
      <alignment horizontal="center" vertical="center" wrapText="1"/>
      <protection hidden="1"/>
    </xf>
    <xf numFmtId="0" fontId="12" fillId="0" borderId="41" xfId="0" applyFont="1" applyBorder="1" applyAlignment="1" applyProtection="1">
      <alignment horizontal="center" vertical="center" wrapText="1"/>
      <protection hidden="1"/>
    </xf>
    <xf numFmtId="44" fontId="12" fillId="0" borderId="12" xfId="6" applyFont="1" applyBorder="1" applyAlignment="1" applyProtection="1">
      <alignment horizontal="center"/>
      <protection hidden="1"/>
    </xf>
    <xf numFmtId="44" fontId="12" fillId="0" borderId="15" xfId="6" applyFont="1" applyBorder="1" applyAlignment="1" applyProtection="1">
      <alignment horizontal="center"/>
      <protection hidden="1"/>
    </xf>
    <xf numFmtId="44" fontId="12" fillId="0" borderId="52" xfId="6" applyFont="1" applyBorder="1" applyAlignment="1" applyProtection="1">
      <alignment horizontal="center"/>
      <protection hidden="1"/>
    </xf>
    <xf numFmtId="44" fontId="12" fillId="0" borderId="39" xfId="6" applyFont="1" applyBorder="1" applyAlignment="1" applyProtection="1">
      <alignment horizontal="center"/>
      <protection hidden="1"/>
    </xf>
    <xf numFmtId="14" fontId="12" fillId="2" borderId="53" xfId="0" applyNumberFormat="1" applyFont="1" applyFill="1" applyBorder="1" applyAlignment="1" applyProtection="1">
      <alignment horizontal="center"/>
      <protection locked="0"/>
    </xf>
    <xf numFmtId="0" fontId="12" fillId="0" borderId="32" xfId="0" applyFont="1" applyBorder="1" applyAlignment="1" applyProtection="1">
      <alignment horizontal="center"/>
      <protection hidden="1"/>
    </xf>
    <xf numFmtId="0" fontId="12" fillId="0" borderId="51" xfId="0" applyFont="1" applyBorder="1" applyAlignment="1" applyProtection="1">
      <alignment horizontal="center"/>
      <protection hidden="1"/>
    </xf>
    <xf numFmtId="0" fontId="12" fillId="0" borderId="38" xfId="0" applyFont="1" applyBorder="1" applyAlignment="1" applyProtection="1">
      <alignment horizontal="center"/>
      <protection hidden="1"/>
    </xf>
    <xf numFmtId="0" fontId="12" fillId="0" borderId="1" xfId="0" applyFont="1" applyBorder="1" applyAlignment="1" applyProtection="1">
      <alignment horizontal="center"/>
      <protection hidden="1"/>
    </xf>
    <xf numFmtId="0" fontId="12" fillId="0" borderId="39" xfId="0" applyFont="1" applyBorder="1" applyAlignment="1" applyProtection="1">
      <alignment horizontal="center"/>
      <protection hidden="1"/>
    </xf>
    <xf numFmtId="0" fontId="21" fillId="0" borderId="16" xfId="0" applyFont="1" applyBorder="1" applyAlignment="1">
      <alignment horizontal="right" vertical="center"/>
    </xf>
    <xf numFmtId="0" fontId="21" fillId="0" borderId="17" xfId="0" applyFont="1" applyBorder="1" applyAlignment="1">
      <alignment horizontal="right" vertical="center"/>
    </xf>
    <xf numFmtId="0" fontId="21" fillId="0" borderId="20" xfId="0" applyFont="1" applyBorder="1" applyAlignment="1">
      <alignment horizontal="right" vertical="center"/>
    </xf>
    <xf numFmtId="169" fontId="22" fillId="2" borderId="16" xfId="2" applyNumberFormat="1" applyFont="1" applyFill="1" applyBorder="1" applyAlignment="1" applyProtection="1">
      <alignment horizontal="right" vertical="center"/>
      <protection hidden="1"/>
    </xf>
    <xf numFmtId="169" fontId="22" fillId="2" borderId="18" xfId="2" applyNumberFormat="1" applyFont="1" applyFill="1" applyBorder="1" applyAlignment="1" applyProtection="1">
      <alignment horizontal="right" vertical="center"/>
      <protection hidden="1"/>
    </xf>
    <xf numFmtId="0" fontId="21" fillId="0" borderId="19" xfId="0" applyFont="1" applyBorder="1" applyAlignment="1">
      <alignment horizontal="right" vertical="center"/>
    </xf>
    <xf numFmtId="169" fontId="22" fillId="2" borderId="16" xfId="2" applyNumberFormat="1" applyFont="1" applyFill="1" applyBorder="1" applyAlignment="1" applyProtection="1">
      <alignment horizontal="right" vertical="center"/>
    </xf>
    <xf numFmtId="169" fontId="22" fillId="2" borderId="20" xfId="2" applyNumberFormat="1" applyFont="1" applyFill="1" applyBorder="1" applyAlignment="1" applyProtection="1">
      <alignment horizontal="right" vertical="center"/>
    </xf>
    <xf numFmtId="169" fontId="22" fillId="2" borderId="20" xfId="2" applyNumberFormat="1" applyFont="1" applyFill="1" applyBorder="1" applyAlignment="1" applyProtection="1">
      <alignment horizontal="right" vertical="center"/>
      <protection hidden="1"/>
    </xf>
    <xf numFmtId="6" fontId="23" fillId="0" borderId="34" xfId="6" applyNumberFormat="1" applyFont="1" applyBorder="1" applyAlignment="1" applyProtection="1">
      <alignment horizontal="center"/>
      <protection hidden="1"/>
    </xf>
    <xf numFmtId="6" fontId="23" fillId="0" borderId="0" xfId="6" applyNumberFormat="1" applyFont="1" applyBorder="1" applyAlignment="1">
      <alignment horizontal="center"/>
    </xf>
    <xf numFmtId="6" fontId="24" fillId="0" borderId="0" xfId="6" applyNumberFormat="1" applyFont="1" applyBorder="1" applyAlignment="1">
      <alignment horizontal="center"/>
    </xf>
    <xf numFmtId="6" fontId="25" fillId="0" borderId="0" xfId="6" applyNumberFormat="1" applyFont="1" applyBorder="1" applyAlignment="1">
      <alignment horizontal="center"/>
    </xf>
    <xf numFmtId="168" fontId="26" fillId="0" borderId="25" xfId="6" applyNumberFormat="1" applyFont="1" applyBorder="1" applyAlignment="1" applyProtection="1">
      <alignment horizontal="center"/>
      <protection hidden="1"/>
    </xf>
    <xf numFmtId="44" fontId="26" fillId="0" borderId="25" xfId="6" applyFont="1" applyBorder="1" applyAlignment="1">
      <alignment horizontal="center"/>
    </xf>
    <xf numFmtId="168" fontId="26" fillId="0" borderId="25" xfId="6" applyNumberFormat="1" applyFont="1" applyBorder="1" applyAlignment="1">
      <alignment horizontal="center"/>
    </xf>
  </cellXfs>
  <cellStyles count="7">
    <cellStyle name="Comma" xfId="1" builtinId="3"/>
    <cellStyle name="Currency" xfId="2" builtinId="4"/>
    <cellStyle name="Currency 2" xfId="6" xr:uid="{00000000-0005-0000-0000-000002000000}"/>
    <cellStyle name="Hyperlink" xfId="4" builtinId="8"/>
    <cellStyle name="Normal" xfId="0" builtinId="0"/>
    <cellStyle name="Normal 2" xfId="5" xr:uid="{00000000-0005-0000-0000-000005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1</xdr:col>
      <xdr:colOff>361950</xdr:colOff>
      <xdr:row>3</xdr:row>
      <xdr:rowOff>109741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19050"/>
          <a:ext cx="923925" cy="735216"/>
        </a:xfrm>
        <a:prstGeom prst="rect">
          <a:avLst/>
        </a:prstGeom>
        <a:ln>
          <a:noFill/>
        </a:ln>
        <a:effectLst>
          <a:softEdge rad="112500"/>
        </a:effectLst>
      </xdr:spPr>
    </xdr:pic>
    <xdr:clientData/>
  </xdr:twoCellAnchor>
  <xdr:twoCellAnchor editAs="oneCell">
    <xdr:from>
      <xdr:col>10</xdr:col>
      <xdr:colOff>180975</xdr:colOff>
      <xdr:row>0</xdr:row>
      <xdr:rowOff>0</xdr:rowOff>
    </xdr:from>
    <xdr:to>
      <xdr:col>11</xdr:col>
      <xdr:colOff>533400</xdr:colOff>
      <xdr:row>3</xdr:row>
      <xdr:rowOff>90691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5975" y="0"/>
          <a:ext cx="923925" cy="735216"/>
        </a:xfrm>
        <a:prstGeom prst="rect">
          <a:avLst/>
        </a:prstGeom>
        <a:ln>
          <a:noFill/>
        </a:ln>
        <a:effectLst>
          <a:softEdge rad="112500"/>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26</xdr:row>
      <xdr:rowOff>0</xdr:rowOff>
    </xdr:from>
    <xdr:to>
      <xdr:col>9</xdr:col>
      <xdr:colOff>476250</xdr:colOff>
      <xdr:row>26</xdr:row>
      <xdr:rowOff>0</xdr:rowOff>
    </xdr:to>
    <xdr:sp macro="" textlink="">
      <xdr:nvSpPr>
        <xdr:cNvPr id="2" name="Text Box 28">
          <a:extLst>
            <a:ext uri="{FF2B5EF4-FFF2-40B4-BE49-F238E27FC236}">
              <a16:creationId xmlns:a16="http://schemas.microsoft.com/office/drawing/2014/main" id="{00000000-0008-0000-0300-000002000000}"/>
            </a:ext>
          </a:extLst>
        </xdr:cNvPr>
        <xdr:cNvSpPr txBox="1">
          <a:spLocks noChangeArrowheads="1"/>
        </xdr:cNvSpPr>
      </xdr:nvSpPr>
      <xdr:spPr bwMode="auto">
        <a:xfrm>
          <a:off x="28575" y="4752975"/>
          <a:ext cx="8391525" cy="0"/>
        </a:xfrm>
        <a:prstGeom prst="rect">
          <a:avLst/>
        </a:prstGeom>
        <a:solidFill>
          <a:srgbClr val="FFFFFF"/>
        </a:solidFill>
        <a:ln w="3175">
          <a:solidFill>
            <a:srgbClr val="000000"/>
          </a:solidFill>
          <a:miter lim="800000"/>
          <a:headEnd/>
          <a:tailEnd/>
        </a:ln>
      </xdr:spPr>
      <xdr:txBody>
        <a:bodyPr vertOverflow="clip" wrap="square" lIns="91440" tIns="45720" rIns="91440" bIns="45720" anchor="t" upright="1"/>
        <a:lstStyle/>
        <a:p>
          <a:pPr algn="l" rtl="0">
            <a:defRPr sz="1000"/>
          </a:pPr>
          <a:r>
            <a:rPr lang="en-US" sz="1000" b="0" i="0" strike="noStrike">
              <a:solidFill>
                <a:srgbClr val="000000"/>
              </a:solidFill>
              <a:latin typeface="Tahoma"/>
              <a:cs typeface="Tahoma"/>
            </a:rPr>
            <a:t>The information contained in this statement is provided to induce you to extend or to continue the extension of credit to the undersigned or to others upon the guarantee of the undersigned.  The undersigned acknowledge and understand that you are relying on the information provided herein in deciding to grant or continue credit or to accept a guarantee thereof.  Each of the undersigned represents, warrants, and certifies that the information provided herein is true, correct, and complete. Each of the undersigned agrees to notify you immediately and in writing of any change in name, address, or employment and of any material adverse change (1) in any of the information contained in this statement, or (2) in the financial condition of any of the undersigned, or (3) in the ability of any of the undersigned to perform its (or their) obligations to you.  In the absence of such notice or a new and full written statement, this should be considered as a continuing statement and substantially correct.  If the undersigned fail to notify you as required above, or if any of the information herein should prove to be inaccurate or incomplete in any material respect, you may declare the indebtedness of the undersigned or the indebtedness guaranteed by the undersigned, as the case may be, immediately due and payable.</a:t>
          </a:r>
        </a:p>
        <a:p>
          <a:pPr algn="l" rtl="0">
            <a:defRPr sz="1000"/>
          </a:pPr>
          <a:r>
            <a:rPr lang="en-US" sz="1000" b="0" i="0" strike="noStrike">
              <a:solidFill>
                <a:srgbClr val="000000"/>
              </a:solidFill>
              <a:latin typeface="Tahoma"/>
              <a:cs typeface="Tahoma"/>
            </a:rPr>
            <a:t>You are authorized to make all inquiries you deem necessary to verify the accuracy of the information contained herein and to determine the credit-worthiness of the undersigned.  The undersigned authorize any  person or consumer reporting agency to give you any information it may have on the undersigned.  Each of the undersigned authorizes you to answer any questions about your credit experience with the undersigned.  As long as any obligation or guarantee of the undersigned to you is outstanding, the undersigned shall supply annually an updated financial statement. This personal financial statement and any other financial or other information that the undersigned give you shall be your property</a:t>
          </a:r>
        </a:p>
        <a:p>
          <a:pPr algn="l" rtl="0">
            <a:defRPr sz="1000"/>
          </a:pPr>
          <a:endParaRPr lang="en-US" sz="1000" b="0" i="0" strike="noStrike">
            <a:solidFill>
              <a:srgbClr val="000000"/>
            </a:solidFill>
            <a:latin typeface="Tahoma"/>
            <a:cs typeface="Tahoma"/>
          </a:endParaRPr>
        </a:p>
      </xdr:txBody>
    </xdr:sp>
    <xdr:clientData/>
  </xdr:twoCellAnchor>
  <xdr:twoCellAnchor editAs="oneCell">
    <xdr:from>
      <xdr:col>0</xdr:col>
      <xdr:colOff>9524</xdr:colOff>
      <xdr:row>25</xdr:row>
      <xdr:rowOff>146423</xdr:rowOff>
    </xdr:from>
    <xdr:to>
      <xdr:col>9</xdr:col>
      <xdr:colOff>327601</xdr:colOff>
      <xdr:row>45</xdr:row>
      <xdr:rowOff>104775</xdr:rowOff>
    </xdr:to>
    <xdr:pic>
      <xdr:nvPicPr>
        <xdr:cNvPr id="3" name="Picture 30">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9524" y="3756398"/>
          <a:ext cx="6985577" cy="282537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59"/>
  <sheetViews>
    <sheetView view="pageLayout" topLeftCell="A14" zoomScaleNormal="100" workbookViewId="0">
      <selection activeCell="G41" sqref="G41:L41"/>
    </sheetView>
  </sheetViews>
  <sheetFormatPr defaultRowHeight="15" x14ac:dyDescent="0.25"/>
  <cols>
    <col min="1" max="12" width="8" customWidth="1"/>
  </cols>
  <sheetData>
    <row r="1" spans="1:12" ht="18.75" thickBot="1" x14ac:dyDescent="0.3">
      <c r="A1" s="164"/>
      <c r="B1" s="164"/>
      <c r="C1" s="177" t="s">
        <v>217</v>
      </c>
      <c r="D1" s="177"/>
      <c r="E1" s="177"/>
      <c r="F1" s="177"/>
      <c r="G1" s="177"/>
      <c r="H1" s="177"/>
      <c r="I1" s="177"/>
      <c r="J1" s="158"/>
      <c r="K1" s="1"/>
      <c r="L1" s="1"/>
    </row>
    <row r="2" spans="1:12" ht="18" x14ac:dyDescent="0.25">
      <c r="A2" s="164"/>
      <c r="B2" s="164"/>
      <c r="C2" s="177" t="s">
        <v>210</v>
      </c>
      <c r="D2" s="177"/>
      <c r="E2" s="177"/>
      <c r="F2" s="177"/>
      <c r="G2" s="177"/>
      <c r="H2" s="177"/>
      <c r="I2" s="177"/>
      <c r="J2" s="177"/>
      <c r="K2" s="1"/>
      <c r="L2" s="1"/>
    </row>
    <row r="3" spans="1:12" s="3" customFormat="1" x14ac:dyDescent="0.25">
      <c r="A3" s="164"/>
      <c r="B3" s="164"/>
      <c r="C3" s="171" t="s">
        <v>213</v>
      </c>
      <c r="D3" s="171"/>
      <c r="E3" s="171"/>
      <c r="F3" s="171"/>
      <c r="G3" s="171"/>
      <c r="H3" s="171"/>
      <c r="I3" s="171"/>
      <c r="J3" s="171"/>
      <c r="K3" s="2"/>
      <c r="L3" s="2"/>
    </row>
    <row r="4" spans="1:12" s="3" customFormat="1" x14ac:dyDescent="0.25">
      <c r="C4" s="171" t="s">
        <v>211</v>
      </c>
      <c r="D4" s="171"/>
      <c r="E4" s="171"/>
      <c r="F4" s="171"/>
      <c r="G4" s="171" t="s">
        <v>212</v>
      </c>
      <c r="H4" s="171"/>
      <c r="I4" s="171"/>
      <c r="J4" s="171"/>
      <c r="K4" s="2"/>
      <c r="L4" s="2"/>
    </row>
    <row r="5" spans="1:12" s="3" customFormat="1" ht="9.75" customHeight="1" thickBot="1" x14ac:dyDescent="0.25">
      <c r="A5" s="165"/>
      <c r="B5" s="166"/>
      <c r="C5" s="166"/>
      <c r="D5" s="166"/>
      <c r="E5" s="166"/>
      <c r="F5" s="166"/>
      <c r="G5" s="166"/>
      <c r="H5" s="166"/>
      <c r="I5" s="166"/>
      <c r="J5" s="166"/>
      <c r="K5" s="166"/>
      <c r="L5" s="166"/>
    </row>
    <row r="6" spans="1:12" s="4" customFormat="1" ht="15.75" thickBot="1" x14ac:dyDescent="0.25">
      <c r="A6" s="167" t="s">
        <v>0</v>
      </c>
      <c r="B6" s="168"/>
      <c r="C6" s="168"/>
      <c r="D6" s="168"/>
      <c r="E6" s="168"/>
      <c r="F6" s="168"/>
      <c r="G6" s="169"/>
      <c r="H6" s="169"/>
      <c r="I6" s="169"/>
      <c r="J6" s="169"/>
      <c r="K6" s="169"/>
      <c r="L6" s="170"/>
    </row>
    <row r="7" spans="1:12" s="5" customFormat="1" ht="11.25" x14ac:dyDescent="0.15">
      <c r="A7" s="172" t="s">
        <v>1</v>
      </c>
      <c r="B7" s="173"/>
      <c r="C7" s="173"/>
      <c r="D7" s="173"/>
      <c r="E7" s="173"/>
      <c r="F7" s="173"/>
      <c r="G7" s="174" t="s">
        <v>2</v>
      </c>
      <c r="H7" s="175"/>
      <c r="I7" s="175"/>
      <c r="J7" s="175"/>
      <c r="K7" s="175"/>
      <c r="L7" s="176"/>
    </row>
    <row r="8" spans="1:12" s="4" customFormat="1" x14ac:dyDescent="0.2">
      <c r="A8" s="161"/>
      <c r="B8" s="162"/>
      <c r="C8" s="162"/>
      <c r="D8" s="162"/>
      <c r="E8" s="162"/>
      <c r="F8" s="162"/>
      <c r="G8" s="161"/>
      <c r="H8" s="162"/>
      <c r="I8" s="162"/>
      <c r="J8" s="162"/>
      <c r="K8" s="162"/>
      <c r="L8" s="163"/>
    </row>
    <row r="9" spans="1:12" s="5" customFormat="1" ht="11.25" x14ac:dyDescent="0.15">
      <c r="A9" s="174" t="s">
        <v>3</v>
      </c>
      <c r="B9" s="175"/>
      <c r="C9" s="175"/>
      <c r="D9" s="175"/>
      <c r="E9" s="175"/>
      <c r="F9" s="175"/>
      <c r="G9" s="174" t="s">
        <v>3</v>
      </c>
      <c r="H9" s="175"/>
      <c r="I9" s="175"/>
      <c r="J9" s="175"/>
      <c r="K9" s="175"/>
      <c r="L9" s="176"/>
    </row>
    <row r="10" spans="1:12" s="4" customFormat="1" x14ac:dyDescent="0.2">
      <c r="A10" s="178"/>
      <c r="B10" s="179"/>
      <c r="C10" s="179"/>
      <c r="D10" s="179"/>
      <c r="E10" s="179"/>
      <c r="F10" s="179"/>
      <c r="G10" s="178"/>
      <c r="H10" s="179"/>
      <c r="I10" s="179"/>
      <c r="J10" s="179"/>
      <c r="K10" s="179"/>
      <c r="L10" s="180"/>
    </row>
    <row r="11" spans="1:12" s="4" customFormat="1" x14ac:dyDescent="0.2">
      <c r="A11" s="161"/>
      <c r="B11" s="162"/>
      <c r="C11" s="162"/>
      <c r="D11" s="162"/>
      <c r="E11" s="162"/>
      <c r="F11" s="162"/>
      <c r="G11" s="161"/>
      <c r="H11" s="162"/>
      <c r="I11" s="162"/>
      <c r="J11" s="162"/>
      <c r="K11" s="162"/>
      <c r="L11" s="163"/>
    </row>
    <row r="12" spans="1:12" s="5" customFormat="1" ht="11.25" x14ac:dyDescent="0.15">
      <c r="A12" s="174" t="s">
        <v>4</v>
      </c>
      <c r="B12" s="176"/>
      <c r="C12" s="174" t="s">
        <v>5</v>
      </c>
      <c r="D12" s="176"/>
      <c r="E12" s="174" t="s">
        <v>6</v>
      </c>
      <c r="F12" s="175"/>
      <c r="G12" s="174" t="s">
        <v>4</v>
      </c>
      <c r="H12" s="176"/>
      <c r="I12" s="174" t="s">
        <v>5</v>
      </c>
      <c r="J12" s="176"/>
      <c r="K12" s="174" t="s">
        <v>6</v>
      </c>
      <c r="L12" s="176"/>
    </row>
    <row r="13" spans="1:12" s="4" customFormat="1" x14ac:dyDescent="0.2">
      <c r="A13" s="181"/>
      <c r="B13" s="182"/>
      <c r="C13" s="183"/>
      <c r="D13" s="184"/>
      <c r="E13" s="185"/>
      <c r="F13" s="186"/>
      <c r="G13" s="181"/>
      <c r="H13" s="182"/>
      <c r="I13" s="183"/>
      <c r="J13" s="184"/>
      <c r="K13" s="185"/>
      <c r="L13" s="187"/>
    </row>
    <row r="14" spans="1:12" s="5" customFormat="1" ht="11.25" x14ac:dyDescent="0.15">
      <c r="A14" s="174" t="s">
        <v>7</v>
      </c>
      <c r="B14" s="175"/>
      <c r="C14" s="175"/>
      <c r="D14" s="175"/>
      <c r="E14" s="175"/>
      <c r="F14" s="175"/>
      <c r="G14" s="174" t="s">
        <v>7</v>
      </c>
      <c r="H14" s="175"/>
      <c r="I14" s="175"/>
      <c r="J14" s="175"/>
      <c r="K14" s="175"/>
      <c r="L14" s="176"/>
    </row>
    <row r="15" spans="1:12" s="4" customFormat="1" x14ac:dyDescent="0.2">
      <c r="A15" s="161"/>
      <c r="B15" s="162"/>
      <c r="C15" s="162"/>
      <c r="D15" s="162"/>
      <c r="E15" s="162"/>
      <c r="F15" s="162"/>
      <c r="G15" s="161"/>
      <c r="H15" s="162"/>
      <c r="I15" s="162"/>
      <c r="J15" s="162"/>
      <c r="K15" s="162"/>
      <c r="L15" s="163"/>
    </row>
    <row r="16" spans="1:12" s="5" customFormat="1" ht="11.25" x14ac:dyDescent="0.15">
      <c r="A16" s="174" t="s">
        <v>8</v>
      </c>
      <c r="B16" s="175"/>
      <c r="C16" s="175"/>
      <c r="D16" s="175"/>
      <c r="E16" s="175"/>
      <c r="F16" s="175"/>
      <c r="G16" s="174" t="s">
        <v>8</v>
      </c>
      <c r="H16" s="175"/>
      <c r="I16" s="175"/>
      <c r="J16" s="175"/>
      <c r="K16" s="175"/>
      <c r="L16" s="176"/>
    </row>
    <row r="17" spans="1:12" s="4" customFormat="1" x14ac:dyDescent="0.2">
      <c r="A17" s="178"/>
      <c r="B17" s="179"/>
      <c r="C17" s="179"/>
      <c r="D17" s="179"/>
      <c r="E17" s="179"/>
      <c r="F17" s="179"/>
      <c r="G17" s="178"/>
      <c r="H17" s="179"/>
      <c r="I17" s="179"/>
      <c r="J17" s="179"/>
      <c r="K17" s="179"/>
      <c r="L17" s="180"/>
    </row>
    <row r="18" spans="1:12" s="4" customFormat="1" x14ac:dyDescent="0.2">
      <c r="A18" s="161"/>
      <c r="B18" s="162"/>
      <c r="C18" s="162"/>
      <c r="D18" s="162"/>
      <c r="E18" s="162"/>
      <c r="F18" s="162"/>
      <c r="G18" s="161"/>
      <c r="H18" s="162"/>
      <c r="I18" s="162"/>
      <c r="J18" s="162"/>
      <c r="K18" s="162"/>
      <c r="L18" s="163"/>
    </row>
    <row r="19" spans="1:12" s="5" customFormat="1" ht="11.25" x14ac:dyDescent="0.15">
      <c r="A19" s="174" t="s">
        <v>187</v>
      </c>
      <c r="B19" s="176"/>
      <c r="C19" s="174" t="s">
        <v>191</v>
      </c>
      <c r="D19" s="176"/>
      <c r="E19" s="174" t="s">
        <v>9</v>
      </c>
      <c r="F19" s="203"/>
      <c r="G19" s="200" t="s">
        <v>187</v>
      </c>
      <c r="H19" s="176"/>
      <c r="I19" s="174" t="s">
        <v>191</v>
      </c>
      <c r="J19" s="176"/>
      <c r="K19" s="174" t="s">
        <v>9</v>
      </c>
      <c r="L19" s="176"/>
    </row>
    <row r="20" spans="1:12" s="4" customFormat="1" x14ac:dyDescent="0.2">
      <c r="A20" s="181"/>
      <c r="B20" s="182"/>
      <c r="C20" s="161"/>
      <c r="D20" s="163"/>
      <c r="E20" s="201"/>
      <c r="F20" s="202"/>
      <c r="G20" s="181"/>
      <c r="H20" s="182"/>
      <c r="I20" s="161"/>
      <c r="J20" s="163"/>
      <c r="K20" s="161"/>
      <c r="L20" s="163"/>
    </row>
    <row r="21" spans="1:12" s="5" customFormat="1" ht="11.25" x14ac:dyDescent="0.15">
      <c r="A21" s="174" t="s">
        <v>10</v>
      </c>
      <c r="B21" s="175"/>
      <c r="C21" s="175"/>
      <c r="D21" s="175"/>
      <c r="E21" s="175"/>
      <c r="F21" s="203"/>
      <c r="G21" s="200" t="s">
        <v>10</v>
      </c>
      <c r="H21" s="175"/>
      <c r="I21" s="175"/>
      <c r="J21" s="175"/>
      <c r="K21" s="175"/>
      <c r="L21" s="176"/>
    </row>
    <row r="22" spans="1:12" s="4" customFormat="1" x14ac:dyDescent="0.2">
      <c r="A22" s="208"/>
      <c r="B22" s="208"/>
      <c r="C22" s="208"/>
      <c r="D22" s="207"/>
      <c r="E22" s="207"/>
      <c r="F22" s="207"/>
      <c r="G22" s="208"/>
      <c r="H22" s="208"/>
      <c r="I22" s="208"/>
      <c r="J22" s="207"/>
      <c r="K22" s="207"/>
      <c r="L22" s="207"/>
    </row>
    <row r="23" spans="1:12" s="5" customFormat="1" ht="11.25" x14ac:dyDescent="0.15">
      <c r="A23" s="174" t="s">
        <v>188</v>
      </c>
      <c r="B23" s="175"/>
      <c r="C23" s="175"/>
      <c r="D23" s="175"/>
      <c r="E23" s="175"/>
      <c r="F23" s="176"/>
      <c r="G23" s="200" t="s">
        <v>188</v>
      </c>
      <c r="H23" s="175"/>
      <c r="I23" s="175"/>
      <c r="J23" s="175"/>
      <c r="K23" s="175"/>
      <c r="L23" s="176"/>
    </row>
    <row r="24" spans="1:12" s="4" customFormat="1" x14ac:dyDescent="0.2">
      <c r="A24" s="204"/>
      <c r="B24" s="205"/>
      <c r="C24" s="206"/>
      <c r="D24" s="207"/>
      <c r="E24" s="207"/>
      <c r="F24" s="207"/>
      <c r="G24" s="204"/>
      <c r="H24" s="205"/>
      <c r="I24" s="206"/>
      <c r="J24" s="207"/>
      <c r="K24" s="207"/>
      <c r="L24" s="207"/>
    </row>
    <row r="25" spans="1:12" s="5" customFormat="1" ht="11.25" x14ac:dyDescent="0.15">
      <c r="A25" s="174" t="s">
        <v>189</v>
      </c>
      <c r="B25" s="175"/>
      <c r="C25" s="175"/>
      <c r="D25" s="175"/>
      <c r="E25" s="175"/>
      <c r="F25" s="176"/>
      <c r="G25" s="200" t="s">
        <v>189</v>
      </c>
      <c r="H25" s="175"/>
      <c r="I25" s="175"/>
      <c r="J25" s="175"/>
      <c r="K25" s="175"/>
      <c r="L25" s="176"/>
    </row>
    <row r="26" spans="1:12" s="4" customFormat="1" x14ac:dyDescent="0.2">
      <c r="A26" s="208"/>
      <c r="B26" s="208"/>
      <c r="C26" s="208"/>
      <c r="D26" s="207"/>
      <c r="E26" s="207"/>
      <c r="F26" s="207"/>
      <c r="G26" s="208"/>
      <c r="H26" s="208"/>
      <c r="I26" s="208"/>
      <c r="J26" s="207"/>
      <c r="K26" s="207"/>
      <c r="L26" s="207"/>
    </row>
    <row r="27" spans="1:12" s="5" customFormat="1" ht="11.25" x14ac:dyDescent="0.15">
      <c r="A27" s="174" t="s">
        <v>190</v>
      </c>
      <c r="B27" s="175"/>
      <c r="C27" s="175"/>
      <c r="D27" s="175"/>
      <c r="E27" s="175"/>
      <c r="F27" s="176"/>
      <c r="G27" s="200" t="s">
        <v>190</v>
      </c>
      <c r="H27" s="175"/>
      <c r="I27" s="175"/>
      <c r="J27" s="175"/>
      <c r="K27" s="175"/>
      <c r="L27" s="176"/>
    </row>
    <row r="28" spans="1:12" s="4" customFormat="1" x14ac:dyDescent="0.2">
      <c r="A28" s="208"/>
      <c r="B28" s="208"/>
      <c r="C28" s="208"/>
      <c r="D28" s="207"/>
      <c r="E28" s="207"/>
      <c r="F28" s="207"/>
      <c r="G28" s="208"/>
      <c r="H28" s="208"/>
      <c r="I28" s="208"/>
      <c r="J28" s="207"/>
      <c r="K28" s="207"/>
      <c r="L28" s="207"/>
    </row>
    <row r="29" spans="1:12" s="4" customFormat="1" ht="11.25" customHeight="1" thickBot="1" x14ac:dyDescent="0.25">
      <c r="A29" s="3"/>
      <c r="B29" s="3"/>
      <c r="C29" s="3"/>
      <c r="D29" s="3"/>
      <c r="E29" s="3"/>
      <c r="F29" s="3"/>
      <c r="G29" s="3"/>
      <c r="H29" s="3"/>
      <c r="I29" s="3"/>
      <c r="J29" s="3"/>
      <c r="K29" s="3"/>
      <c r="L29" s="9"/>
    </row>
    <row r="30" spans="1:12" s="3" customFormat="1" ht="13.5" thickBot="1" x14ac:dyDescent="0.25">
      <c r="A30" s="191" t="s">
        <v>171</v>
      </c>
      <c r="B30" s="192"/>
      <c r="C30" s="192"/>
      <c r="D30" s="192"/>
      <c r="E30" s="192"/>
      <c r="F30" s="192"/>
      <c r="G30" s="192"/>
      <c r="H30" s="192"/>
      <c r="I30" s="192"/>
      <c r="J30" s="192"/>
      <c r="K30" s="192"/>
      <c r="L30" s="193"/>
    </row>
    <row r="31" spans="1:12" s="3" customFormat="1" ht="12.75" x14ac:dyDescent="0.2">
      <c r="A31" s="238" t="s">
        <v>11</v>
      </c>
      <c r="B31" s="239"/>
      <c r="C31" s="239"/>
      <c r="D31" s="240"/>
      <c r="E31" s="194" t="s">
        <v>12</v>
      </c>
      <c r="F31" s="195"/>
      <c r="G31" s="241" t="s">
        <v>13</v>
      </c>
      <c r="H31" s="239"/>
      <c r="I31" s="239"/>
      <c r="J31" s="240"/>
      <c r="K31" s="194" t="s">
        <v>12</v>
      </c>
      <c r="L31" s="196"/>
    </row>
    <row r="32" spans="1:12" s="6" customFormat="1" ht="12.75" x14ac:dyDescent="0.25">
      <c r="A32" s="237" t="s">
        <v>14</v>
      </c>
      <c r="B32" s="198"/>
      <c r="C32" s="198"/>
      <c r="D32" s="199"/>
      <c r="E32" s="188"/>
      <c r="F32" s="189"/>
      <c r="G32" s="197" t="s">
        <v>15</v>
      </c>
      <c r="H32" s="198"/>
      <c r="I32" s="198"/>
      <c r="J32" s="199"/>
      <c r="K32" s="188"/>
      <c r="L32" s="190"/>
    </row>
    <row r="33" spans="1:12" s="6" customFormat="1" ht="12.75" x14ac:dyDescent="0.25">
      <c r="A33" s="237" t="s">
        <v>16</v>
      </c>
      <c r="B33" s="198"/>
      <c r="C33" s="198"/>
      <c r="D33" s="199"/>
      <c r="E33" s="188"/>
      <c r="F33" s="189"/>
      <c r="G33" s="197" t="s">
        <v>17</v>
      </c>
      <c r="H33" s="198"/>
      <c r="I33" s="198"/>
      <c r="J33" s="199"/>
      <c r="K33" s="188"/>
      <c r="L33" s="190"/>
    </row>
    <row r="34" spans="1:12" s="6" customFormat="1" ht="12.75" x14ac:dyDescent="0.25">
      <c r="A34" s="237" t="s">
        <v>18</v>
      </c>
      <c r="B34" s="198"/>
      <c r="C34" s="198"/>
      <c r="D34" s="199"/>
      <c r="E34" s="188"/>
      <c r="F34" s="189"/>
      <c r="G34" s="197" t="s">
        <v>19</v>
      </c>
      <c r="H34" s="198"/>
      <c r="I34" s="198"/>
      <c r="J34" s="199"/>
      <c r="K34" s="188"/>
      <c r="L34" s="190"/>
    </row>
    <row r="35" spans="1:12" s="6" customFormat="1" ht="12.75" x14ac:dyDescent="0.25">
      <c r="A35" s="237" t="s">
        <v>192</v>
      </c>
      <c r="B35" s="198"/>
      <c r="C35" s="198"/>
      <c r="D35" s="199"/>
      <c r="E35" s="188"/>
      <c r="F35" s="189"/>
      <c r="G35" s="437" t="s">
        <v>183</v>
      </c>
      <c r="H35" s="433"/>
      <c r="I35" s="433"/>
      <c r="J35" s="434"/>
      <c r="K35" s="438">
        <f>'Page 3'!I24*12</f>
        <v>16376.76</v>
      </c>
      <c r="L35" s="439"/>
    </row>
    <row r="36" spans="1:12" s="6" customFormat="1" ht="12.75" x14ac:dyDescent="0.25">
      <c r="A36" s="432" t="s">
        <v>193</v>
      </c>
      <c r="B36" s="433"/>
      <c r="C36" s="433"/>
      <c r="D36" s="434"/>
      <c r="E36" s="435">
        <f>'Page 6'!M46*12</f>
        <v>31980</v>
      </c>
      <c r="F36" s="436"/>
      <c r="G36" s="437" t="s">
        <v>184</v>
      </c>
      <c r="H36" s="433"/>
      <c r="I36" s="433"/>
      <c r="J36" s="434"/>
      <c r="K36" s="435">
        <f>'Page 6'!N46*12</f>
        <v>96</v>
      </c>
      <c r="L36" s="440"/>
    </row>
    <row r="37" spans="1:12" s="6" customFormat="1" ht="12.75" x14ac:dyDescent="0.25">
      <c r="A37" s="237" t="s">
        <v>20</v>
      </c>
      <c r="B37" s="198"/>
      <c r="C37" s="198"/>
      <c r="D37" s="199"/>
      <c r="E37" s="188"/>
      <c r="F37" s="189"/>
      <c r="G37" s="197" t="s">
        <v>21</v>
      </c>
      <c r="H37" s="198"/>
      <c r="I37" s="198"/>
      <c r="J37" s="199"/>
      <c r="K37" s="211"/>
      <c r="L37" s="212"/>
    </row>
    <row r="38" spans="1:12" s="6" customFormat="1" ht="12.75" x14ac:dyDescent="0.25">
      <c r="A38" s="237" t="s">
        <v>22</v>
      </c>
      <c r="B38" s="198"/>
      <c r="C38" s="198"/>
      <c r="D38" s="199"/>
      <c r="E38" s="188"/>
      <c r="F38" s="189"/>
      <c r="G38" s="437" t="s">
        <v>23</v>
      </c>
      <c r="H38" s="433"/>
      <c r="I38" s="433"/>
      <c r="J38" s="434"/>
      <c r="K38" s="438">
        <f>'Page 6'!P45</f>
        <v>14509</v>
      </c>
      <c r="L38" s="439"/>
    </row>
    <row r="39" spans="1:12" s="6" customFormat="1" ht="12.75" x14ac:dyDescent="0.25">
      <c r="A39" s="237" t="s">
        <v>24</v>
      </c>
      <c r="B39" s="198"/>
      <c r="C39" s="198"/>
      <c r="D39" s="199"/>
      <c r="E39" s="188"/>
      <c r="F39" s="189"/>
      <c r="G39" s="197" t="s">
        <v>185</v>
      </c>
      <c r="H39" s="198"/>
      <c r="I39" s="198"/>
      <c r="J39" s="199"/>
      <c r="K39" s="188"/>
      <c r="L39" s="190"/>
    </row>
    <row r="40" spans="1:12" s="6" customFormat="1" ht="12.75" x14ac:dyDescent="0.25">
      <c r="A40" s="237" t="s">
        <v>25</v>
      </c>
      <c r="B40" s="198"/>
      <c r="C40" s="198"/>
      <c r="D40" s="199"/>
      <c r="E40" s="188"/>
      <c r="F40" s="189"/>
      <c r="G40" s="197" t="s">
        <v>186</v>
      </c>
      <c r="H40" s="198"/>
      <c r="I40" s="198"/>
      <c r="J40" s="199"/>
      <c r="K40" s="188"/>
      <c r="L40" s="190"/>
    </row>
    <row r="41" spans="1:12" s="6" customFormat="1" ht="12.75" x14ac:dyDescent="0.25">
      <c r="A41" s="237" t="s">
        <v>26</v>
      </c>
      <c r="B41" s="198"/>
      <c r="C41" s="198"/>
      <c r="D41" s="199"/>
      <c r="E41" s="188"/>
      <c r="F41" s="189"/>
      <c r="G41" s="437" t="s">
        <v>27</v>
      </c>
      <c r="H41" s="433"/>
      <c r="I41" s="433"/>
      <c r="J41" s="434"/>
      <c r="K41" s="438">
        <f>'Page 6'!P46</f>
        <v>2018</v>
      </c>
      <c r="L41" s="439"/>
    </row>
    <row r="42" spans="1:12" s="6" customFormat="1" ht="12.75" x14ac:dyDescent="0.25">
      <c r="A42" s="234"/>
      <c r="B42" s="235"/>
      <c r="C42" s="235"/>
      <c r="D42" s="236"/>
      <c r="E42" s="188"/>
      <c r="F42" s="189"/>
      <c r="G42" s="197" t="s">
        <v>28</v>
      </c>
      <c r="H42" s="198"/>
      <c r="I42" s="198"/>
      <c r="J42" s="199"/>
      <c r="K42" s="188"/>
      <c r="L42" s="190"/>
    </row>
    <row r="43" spans="1:12" s="6" customFormat="1" ht="12.75" x14ac:dyDescent="0.25">
      <c r="A43" s="237" t="s">
        <v>194</v>
      </c>
      <c r="B43" s="198"/>
      <c r="C43" s="198"/>
      <c r="D43" s="199"/>
      <c r="E43" s="188"/>
      <c r="F43" s="189"/>
      <c r="G43" s="197" t="s">
        <v>29</v>
      </c>
      <c r="H43" s="198"/>
      <c r="I43" s="198"/>
      <c r="J43" s="199"/>
      <c r="K43" s="188"/>
      <c r="L43" s="190"/>
    </row>
    <row r="44" spans="1:12" s="6" customFormat="1" ht="12.75" x14ac:dyDescent="0.25">
      <c r="A44" s="231"/>
      <c r="B44" s="232"/>
      <c r="C44" s="232"/>
      <c r="D44" s="233"/>
      <c r="E44" s="188"/>
      <c r="F44" s="189"/>
      <c r="G44" s="197" t="s">
        <v>30</v>
      </c>
      <c r="H44" s="198"/>
      <c r="I44" s="198"/>
      <c r="J44" s="199"/>
      <c r="K44" s="188"/>
      <c r="L44" s="190"/>
    </row>
    <row r="45" spans="1:12" s="6" customFormat="1" ht="12.75" x14ac:dyDescent="0.25">
      <c r="A45" s="231"/>
      <c r="B45" s="232"/>
      <c r="C45" s="232"/>
      <c r="D45" s="233"/>
      <c r="E45" s="188"/>
      <c r="F45" s="189"/>
      <c r="G45" s="197" t="s">
        <v>31</v>
      </c>
      <c r="H45" s="198"/>
      <c r="I45" s="198"/>
      <c r="J45" s="199"/>
      <c r="K45" s="188"/>
      <c r="L45" s="190"/>
    </row>
    <row r="46" spans="1:12" s="6" customFormat="1" ht="12.75" x14ac:dyDescent="0.25">
      <c r="A46" s="231"/>
      <c r="B46" s="232"/>
      <c r="C46" s="232"/>
      <c r="D46" s="233"/>
      <c r="E46" s="188"/>
      <c r="F46" s="189"/>
      <c r="G46" s="197" t="s">
        <v>32</v>
      </c>
      <c r="H46" s="198"/>
      <c r="I46" s="198"/>
      <c r="J46" s="199"/>
      <c r="K46" s="188"/>
      <c r="L46" s="190"/>
    </row>
    <row r="47" spans="1:12" s="6" customFormat="1" ht="12.75" x14ac:dyDescent="0.25">
      <c r="A47" s="231"/>
      <c r="B47" s="232"/>
      <c r="C47" s="232"/>
      <c r="D47" s="233"/>
      <c r="E47" s="188"/>
      <c r="F47" s="189"/>
      <c r="G47" s="197" t="s">
        <v>33</v>
      </c>
      <c r="H47" s="198"/>
      <c r="I47" s="198"/>
      <c r="J47" s="199"/>
      <c r="K47" s="188"/>
      <c r="L47" s="190"/>
    </row>
    <row r="48" spans="1:12" s="6" customFormat="1" ht="12.75" x14ac:dyDescent="0.25">
      <c r="A48" s="231"/>
      <c r="B48" s="232"/>
      <c r="C48" s="232"/>
      <c r="D48" s="233"/>
      <c r="E48" s="188"/>
      <c r="F48" s="189"/>
      <c r="G48" s="222"/>
      <c r="H48" s="223"/>
      <c r="I48" s="223"/>
      <c r="J48" s="224"/>
      <c r="K48" s="188"/>
      <c r="L48" s="190"/>
    </row>
    <row r="49" spans="1:12" s="3" customFormat="1" ht="12.75" x14ac:dyDescent="0.2">
      <c r="A49" s="228"/>
      <c r="B49" s="229"/>
      <c r="C49" s="229"/>
      <c r="D49" s="230"/>
      <c r="E49" s="188"/>
      <c r="F49" s="189"/>
      <c r="G49" s="225"/>
      <c r="H49" s="226"/>
      <c r="I49" s="226"/>
      <c r="J49" s="227"/>
      <c r="K49" s="216"/>
      <c r="L49" s="217"/>
    </row>
    <row r="50" spans="1:12" s="3" customFormat="1" ht="13.5" thickBot="1" x14ac:dyDescent="0.25">
      <c r="A50" s="228"/>
      <c r="B50" s="229"/>
      <c r="C50" s="229"/>
      <c r="D50" s="230"/>
      <c r="E50" s="218"/>
      <c r="F50" s="219"/>
      <c r="G50" s="225"/>
      <c r="H50" s="226"/>
      <c r="I50" s="226"/>
      <c r="J50" s="227"/>
      <c r="K50" s="220"/>
      <c r="L50" s="221"/>
    </row>
    <row r="51" spans="1:12" s="3" customFormat="1" ht="18" customHeight="1" thickBot="1" x14ac:dyDescent="0.25">
      <c r="A51" s="5"/>
      <c r="B51" s="5"/>
      <c r="C51" s="5"/>
      <c r="D51" s="10" t="s">
        <v>34</v>
      </c>
      <c r="E51" s="213">
        <f>SUM(E32:F50)</f>
        <v>31980</v>
      </c>
      <c r="F51" s="214"/>
      <c r="G51" s="5"/>
      <c r="H51" s="5"/>
      <c r="I51" s="5"/>
      <c r="J51" s="10" t="s">
        <v>35</v>
      </c>
      <c r="K51" s="213">
        <f>SUM(K32:L50)</f>
        <v>32999.760000000002</v>
      </c>
      <c r="L51" s="214"/>
    </row>
    <row r="52" spans="1:12" s="3" customFormat="1" ht="12.75" x14ac:dyDescent="0.2">
      <c r="B52" s="215" t="s">
        <v>195</v>
      </c>
      <c r="C52" s="215"/>
      <c r="D52" s="215"/>
      <c r="E52" s="215"/>
      <c r="F52" s="215"/>
      <c r="G52" s="215"/>
      <c r="H52" s="215"/>
      <c r="I52" s="215"/>
      <c r="J52" s="215"/>
      <c r="K52" s="215"/>
    </row>
    <row r="53" spans="1:12" s="3" customFormat="1" ht="12.75" x14ac:dyDescent="0.2">
      <c r="B53" s="215"/>
      <c r="C53" s="215"/>
      <c r="D53" s="215"/>
      <c r="E53" s="215"/>
      <c r="F53" s="215"/>
      <c r="G53" s="215"/>
      <c r="H53" s="215"/>
      <c r="I53" s="215"/>
      <c r="J53" s="215"/>
      <c r="K53" s="215"/>
    </row>
    <row r="54" spans="1:12" s="3" customFormat="1" ht="12.75" x14ac:dyDescent="0.2">
      <c r="B54" s="215" t="s">
        <v>36</v>
      </c>
      <c r="C54" s="215"/>
      <c r="D54" s="215"/>
      <c r="E54" s="215"/>
      <c r="F54" s="215"/>
      <c r="G54" s="215"/>
      <c r="H54" s="215"/>
      <c r="I54" s="215"/>
      <c r="J54" s="215"/>
      <c r="K54" s="215"/>
    </row>
    <row r="55" spans="1:12" s="3" customFormat="1" ht="12.75" x14ac:dyDescent="0.2">
      <c r="B55" s="215"/>
      <c r="C55" s="215"/>
      <c r="D55" s="215"/>
      <c r="E55" s="215"/>
      <c r="F55" s="215"/>
      <c r="G55" s="215"/>
      <c r="H55" s="215"/>
      <c r="I55" s="215"/>
      <c r="J55" s="215"/>
      <c r="K55" s="215"/>
    </row>
    <row r="56" spans="1:12" x14ac:dyDescent="0.25">
      <c r="B56" s="11"/>
      <c r="C56" s="11"/>
      <c r="D56" s="11"/>
      <c r="E56" s="11"/>
      <c r="F56" s="11"/>
      <c r="G56" s="11"/>
      <c r="H56" s="11"/>
      <c r="I56" s="11"/>
      <c r="J56" s="11"/>
      <c r="K56" s="11"/>
    </row>
    <row r="57" spans="1:12" x14ac:dyDescent="0.25">
      <c r="B57" s="11"/>
      <c r="C57" s="11"/>
      <c r="D57" s="11"/>
      <c r="E57" s="11"/>
      <c r="F57" s="11"/>
      <c r="G57" s="11"/>
      <c r="H57" s="11"/>
      <c r="I57" s="11"/>
      <c r="J57" s="11"/>
      <c r="K57" s="11"/>
    </row>
    <row r="58" spans="1:12" x14ac:dyDescent="0.25">
      <c r="B58" s="11"/>
      <c r="C58" s="11"/>
      <c r="D58" s="11"/>
      <c r="E58" s="11"/>
      <c r="F58" s="11"/>
      <c r="G58" s="11"/>
      <c r="H58" s="11"/>
      <c r="I58" s="11"/>
      <c r="J58" s="11"/>
      <c r="K58" s="11"/>
    </row>
    <row r="59" spans="1:12" x14ac:dyDescent="0.25">
      <c r="B59" s="11"/>
      <c r="C59" s="11"/>
      <c r="D59" s="11"/>
      <c r="E59" s="11"/>
      <c r="F59" s="11"/>
      <c r="G59" s="11"/>
      <c r="H59" s="11"/>
      <c r="I59" s="11"/>
      <c r="J59" s="11"/>
      <c r="K59" s="11"/>
    </row>
  </sheetData>
  <sheetProtection selectLockedCells="1"/>
  <mergeCells count="161">
    <mergeCell ref="G22:I22"/>
    <mergeCell ref="J22:L22"/>
    <mergeCell ref="G24:I24"/>
    <mergeCell ref="J24:L24"/>
    <mergeCell ref="A31:D31"/>
    <mergeCell ref="G31:J31"/>
    <mergeCell ref="A26:C26"/>
    <mergeCell ref="D26:F26"/>
    <mergeCell ref="G26:I26"/>
    <mergeCell ref="J26:L26"/>
    <mergeCell ref="G28:I28"/>
    <mergeCell ref="J28:L28"/>
    <mergeCell ref="D28:F28"/>
    <mergeCell ref="A28:C28"/>
    <mergeCell ref="A14:F14"/>
    <mergeCell ref="G14:L14"/>
    <mergeCell ref="A16:F16"/>
    <mergeCell ref="G16:L16"/>
    <mergeCell ref="A19:B19"/>
    <mergeCell ref="C19:D19"/>
    <mergeCell ref="E19:F19"/>
    <mergeCell ref="G19:H19"/>
    <mergeCell ref="I19:J19"/>
    <mergeCell ref="K19:L19"/>
    <mergeCell ref="A15:F15"/>
    <mergeCell ref="G15:L15"/>
    <mergeCell ref="A17:F17"/>
    <mergeCell ref="G17:L17"/>
    <mergeCell ref="A18:F18"/>
    <mergeCell ref="G18:L18"/>
    <mergeCell ref="A9:F9"/>
    <mergeCell ref="G9:L9"/>
    <mergeCell ref="A12:B12"/>
    <mergeCell ref="C12:D12"/>
    <mergeCell ref="E12:F12"/>
    <mergeCell ref="G12:H12"/>
    <mergeCell ref="I12:J12"/>
    <mergeCell ref="K12:L12"/>
    <mergeCell ref="A44:D44"/>
    <mergeCell ref="E42:F42"/>
    <mergeCell ref="K42:L42"/>
    <mergeCell ref="E43:F43"/>
    <mergeCell ref="K43:L43"/>
    <mergeCell ref="E44:F44"/>
    <mergeCell ref="K44:L44"/>
    <mergeCell ref="G42:J42"/>
    <mergeCell ref="G43:J43"/>
    <mergeCell ref="G44:J44"/>
    <mergeCell ref="E39:F39"/>
    <mergeCell ref="K39:L39"/>
    <mergeCell ref="E40:F40"/>
    <mergeCell ref="K40:L40"/>
    <mergeCell ref="E41:F41"/>
    <mergeCell ref="K41:L41"/>
    <mergeCell ref="A45:D45"/>
    <mergeCell ref="A46:D46"/>
    <mergeCell ref="A47:D47"/>
    <mergeCell ref="A48:D48"/>
    <mergeCell ref="A42:D42"/>
    <mergeCell ref="A43:D43"/>
    <mergeCell ref="A37:D37"/>
    <mergeCell ref="A33:D33"/>
    <mergeCell ref="A32:D32"/>
    <mergeCell ref="A38:D38"/>
    <mergeCell ref="A39:D39"/>
    <mergeCell ref="A40:D40"/>
    <mergeCell ref="A41:D41"/>
    <mergeCell ref="A36:D36"/>
    <mergeCell ref="A35:D35"/>
    <mergeCell ref="A34:D34"/>
    <mergeCell ref="E51:F51"/>
    <mergeCell ref="K51:L51"/>
    <mergeCell ref="B52:K53"/>
    <mergeCell ref="B54:K55"/>
    <mergeCell ref="E48:F48"/>
    <mergeCell ref="K48:L48"/>
    <mergeCell ref="E49:F49"/>
    <mergeCell ref="K49:L49"/>
    <mergeCell ref="E50:F50"/>
    <mergeCell ref="K50:L50"/>
    <mergeCell ref="G48:J48"/>
    <mergeCell ref="G49:J49"/>
    <mergeCell ref="G50:J50"/>
    <mergeCell ref="A49:D49"/>
    <mergeCell ref="A50:D50"/>
    <mergeCell ref="E45:F45"/>
    <mergeCell ref="K45:L45"/>
    <mergeCell ref="E46:F46"/>
    <mergeCell ref="K46:L46"/>
    <mergeCell ref="E47:F47"/>
    <mergeCell ref="K47:L47"/>
    <mergeCell ref="G45:J45"/>
    <mergeCell ref="G46:J46"/>
    <mergeCell ref="G47:J47"/>
    <mergeCell ref="G39:J39"/>
    <mergeCell ref="G40:J40"/>
    <mergeCell ref="G41:J41"/>
    <mergeCell ref="E36:F36"/>
    <mergeCell ref="E37:F37"/>
    <mergeCell ref="K38:L38"/>
    <mergeCell ref="E38:F38"/>
    <mergeCell ref="G36:J36"/>
    <mergeCell ref="G37:J37"/>
    <mergeCell ref="G38:J38"/>
    <mergeCell ref="K37:L37"/>
    <mergeCell ref="E33:F33"/>
    <mergeCell ref="K33:L33"/>
    <mergeCell ref="E34:F34"/>
    <mergeCell ref="K34:L34"/>
    <mergeCell ref="E35:F35"/>
    <mergeCell ref="K36:L36"/>
    <mergeCell ref="G33:J33"/>
    <mergeCell ref="G34:J34"/>
    <mergeCell ref="G35:J35"/>
    <mergeCell ref="K35:L35"/>
    <mergeCell ref="E32:F32"/>
    <mergeCell ref="K32:L32"/>
    <mergeCell ref="A30:L30"/>
    <mergeCell ref="E31:F31"/>
    <mergeCell ref="K31:L31"/>
    <mergeCell ref="G32:J32"/>
    <mergeCell ref="A27:F27"/>
    <mergeCell ref="G27:L27"/>
    <mergeCell ref="K20:L20"/>
    <mergeCell ref="A20:B20"/>
    <mergeCell ref="C20:D20"/>
    <mergeCell ref="E20:F20"/>
    <mergeCell ref="G20:H20"/>
    <mergeCell ref="I20:J20"/>
    <mergeCell ref="A21:F21"/>
    <mergeCell ref="G21:L21"/>
    <mergeCell ref="A23:F23"/>
    <mergeCell ref="G23:L23"/>
    <mergeCell ref="A25:F25"/>
    <mergeCell ref="G25:L25"/>
    <mergeCell ref="A24:C24"/>
    <mergeCell ref="D24:F24"/>
    <mergeCell ref="A22:C22"/>
    <mergeCell ref="D22:F22"/>
    <mergeCell ref="A10:F10"/>
    <mergeCell ref="G10:L10"/>
    <mergeCell ref="A11:F11"/>
    <mergeCell ref="G11:L11"/>
    <mergeCell ref="A13:B13"/>
    <mergeCell ref="C13:D13"/>
    <mergeCell ref="E13:F13"/>
    <mergeCell ref="G13:H13"/>
    <mergeCell ref="I13:J13"/>
    <mergeCell ref="K13:L13"/>
    <mergeCell ref="A8:F8"/>
    <mergeCell ref="G8:L8"/>
    <mergeCell ref="A1:B3"/>
    <mergeCell ref="A5:L5"/>
    <mergeCell ref="A6:L6"/>
    <mergeCell ref="C3:J3"/>
    <mergeCell ref="A7:F7"/>
    <mergeCell ref="G7:L7"/>
    <mergeCell ref="C2:J2"/>
    <mergeCell ref="G4:J4"/>
    <mergeCell ref="C4:F4"/>
    <mergeCell ref="C1:I1"/>
  </mergeCells>
  <printOptions horizontalCentered="1" verticalCentered="1"/>
  <pageMargins left="0.25" right="0.25" top="0.75" bottom="0.75" header="0.3" footer="0.3"/>
  <pageSetup scale="96" orientation="portrait" r:id="rId1"/>
  <rowBreaks count="1" manualBreakCount="1">
    <brk id="55" max="16383" man="1"/>
  </rowBreaks>
  <colBreaks count="1" manualBreakCount="1">
    <brk id="12"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6"/>
  <sheetViews>
    <sheetView view="pageLayout" topLeftCell="A18" zoomScaleNormal="100" workbookViewId="0">
      <selection activeCell="A53" sqref="A53:L55"/>
    </sheetView>
  </sheetViews>
  <sheetFormatPr defaultColWidth="9.140625" defaultRowHeight="11.25" x14ac:dyDescent="0.2"/>
  <cols>
    <col min="1" max="4" width="7.42578125" style="11" customWidth="1"/>
    <col min="5" max="6" width="9.140625" style="11"/>
    <col min="7" max="10" width="7.28515625" style="11" customWidth="1"/>
    <col min="11" max="12" width="6.7109375" style="11" customWidth="1"/>
    <col min="13" max="16384" width="9.140625" style="11"/>
  </cols>
  <sheetData>
    <row r="1" spans="1:12" ht="31.5" customHeight="1" thickBot="1" x14ac:dyDescent="0.25">
      <c r="A1" s="304" t="s">
        <v>157</v>
      </c>
      <c r="B1" s="304"/>
      <c r="C1" s="304"/>
      <c r="D1" s="304"/>
      <c r="E1" s="304"/>
      <c r="F1" s="304"/>
      <c r="G1" s="304"/>
      <c r="H1" s="304"/>
      <c r="I1" s="304"/>
      <c r="J1" s="304"/>
      <c r="K1" s="304"/>
      <c r="L1" s="304"/>
    </row>
    <row r="2" spans="1:12" ht="12" thickBot="1" x14ac:dyDescent="0.25">
      <c r="A2" s="242" t="s">
        <v>196</v>
      </c>
      <c r="B2" s="243"/>
      <c r="C2" s="243"/>
      <c r="D2" s="243"/>
      <c r="E2" s="243"/>
      <c r="F2" s="243"/>
      <c r="G2" s="243"/>
      <c r="H2" s="243"/>
      <c r="I2" s="243"/>
      <c r="J2" s="243"/>
      <c r="K2" s="243"/>
      <c r="L2" s="244"/>
    </row>
    <row r="3" spans="1:12" x14ac:dyDescent="0.2">
      <c r="A3" s="12" t="s">
        <v>37</v>
      </c>
      <c r="B3" s="13"/>
      <c r="C3" s="13"/>
      <c r="D3" s="13"/>
      <c r="E3" s="245" t="s">
        <v>12</v>
      </c>
      <c r="F3" s="246"/>
      <c r="G3" s="14" t="s">
        <v>38</v>
      </c>
      <c r="H3" s="15"/>
      <c r="I3" s="15"/>
      <c r="J3" s="16"/>
      <c r="K3" s="245" t="s">
        <v>12</v>
      </c>
      <c r="L3" s="247"/>
    </row>
    <row r="4" spans="1:12" x14ac:dyDescent="0.2">
      <c r="A4" s="316" t="s">
        <v>214</v>
      </c>
      <c r="B4" s="317"/>
      <c r="C4" s="317"/>
      <c r="D4" s="318"/>
      <c r="E4" s="188"/>
      <c r="F4" s="189"/>
      <c r="G4" s="249" t="s">
        <v>39</v>
      </c>
      <c r="H4" s="250"/>
      <c r="I4" s="250"/>
      <c r="J4" s="251"/>
      <c r="K4" s="320"/>
      <c r="L4" s="321"/>
    </row>
    <row r="5" spans="1:12" x14ac:dyDescent="0.2">
      <c r="A5" s="316" t="s">
        <v>214</v>
      </c>
      <c r="B5" s="317"/>
      <c r="C5" s="317"/>
      <c r="D5" s="318"/>
      <c r="E5" s="188"/>
      <c r="F5" s="189"/>
      <c r="G5" s="249" t="s">
        <v>40</v>
      </c>
      <c r="H5" s="250"/>
      <c r="I5" s="250"/>
      <c r="J5" s="251"/>
      <c r="K5" s="188"/>
      <c r="L5" s="190"/>
    </row>
    <row r="6" spans="1:12" x14ac:dyDescent="0.2">
      <c r="A6" s="316" t="s">
        <v>215</v>
      </c>
      <c r="B6" s="317"/>
      <c r="C6" s="317"/>
      <c r="D6" s="318"/>
      <c r="E6" s="188"/>
      <c r="F6" s="189"/>
      <c r="G6" s="249" t="s">
        <v>41</v>
      </c>
      <c r="H6" s="250"/>
      <c r="I6" s="250"/>
      <c r="J6" s="251"/>
      <c r="K6" s="188"/>
      <c r="L6" s="190"/>
    </row>
    <row r="7" spans="1:12" x14ac:dyDescent="0.2">
      <c r="A7" s="316" t="s">
        <v>216</v>
      </c>
      <c r="B7" s="317"/>
      <c r="C7" s="317"/>
      <c r="D7" s="318"/>
      <c r="E7" s="188">
        <v>50</v>
      </c>
      <c r="F7" s="189"/>
      <c r="G7" s="249" t="s">
        <v>42</v>
      </c>
      <c r="H7" s="250"/>
      <c r="I7" s="250"/>
      <c r="J7" s="251"/>
      <c r="K7" s="320">
        <v>10</v>
      </c>
      <c r="L7" s="321"/>
    </row>
    <row r="8" spans="1:12" x14ac:dyDescent="0.2">
      <c r="A8" s="316"/>
      <c r="B8" s="317"/>
      <c r="C8" s="317"/>
      <c r="D8" s="318"/>
      <c r="E8" s="188"/>
      <c r="F8" s="189"/>
      <c r="G8" s="249" t="s">
        <v>40</v>
      </c>
      <c r="H8" s="250"/>
      <c r="I8" s="250"/>
      <c r="J8" s="251"/>
      <c r="K8" s="188"/>
      <c r="L8" s="190"/>
    </row>
    <row r="9" spans="1:12" x14ac:dyDescent="0.2">
      <c r="A9" s="316"/>
      <c r="B9" s="317"/>
      <c r="C9" s="317"/>
      <c r="D9" s="318"/>
      <c r="E9" s="188"/>
      <c r="F9" s="189"/>
      <c r="G9" s="249" t="s">
        <v>41</v>
      </c>
      <c r="H9" s="250"/>
      <c r="I9" s="250"/>
      <c r="J9" s="251"/>
      <c r="K9" s="188"/>
      <c r="L9" s="190"/>
    </row>
    <row r="10" spans="1:12" x14ac:dyDescent="0.2">
      <c r="A10" s="313" t="s">
        <v>158</v>
      </c>
      <c r="B10" s="314"/>
      <c r="C10" s="314"/>
      <c r="D10" s="315"/>
      <c r="E10" s="209">
        <f>I51</f>
        <v>0</v>
      </c>
      <c r="F10" s="248"/>
      <c r="G10" s="249" t="s">
        <v>43</v>
      </c>
      <c r="H10" s="250"/>
      <c r="I10" s="250"/>
      <c r="J10" s="251"/>
      <c r="K10" s="188"/>
      <c r="L10" s="190"/>
    </row>
    <row r="11" spans="1:12" x14ac:dyDescent="0.2">
      <c r="A11" s="313" t="s">
        <v>159</v>
      </c>
      <c r="B11" s="314"/>
      <c r="C11" s="314"/>
      <c r="D11" s="315"/>
      <c r="E11" s="209">
        <f>I56</f>
        <v>0</v>
      </c>
      <c r="F11" s="248"/>
      <c r="G11" s="249" t="s">
        <v>182</v>
      </c>
      <c r="H11" s="250"/>
      <c r="I11" s="250"/>
      <c r="J11" s="251"/>
      <c r="K11" s="209">
        <f>'Page 4'!I10</f>
        <v>0</v>
      </c>
      <c r="L11" s="210"/>
    </row>
    <row r="12" spans="1:12" x14ac:dyDescent="0.2">
      <c r="A12" s="313" t="s">
        <v>44</v>
      </c>
      <c r="B12" s="314"/>
      <c r="C12" s="314"/>
      <c r="D12" s="315"/>
      <c r="E12" s="188"/>
      <c r="F12" s="189"/>
      <c r="G12" s="249" t="s">
        <v>45</v>
      </c>
      <c r="H12" s="250"/>
      <c r="I12" s="250"/>
      <c r="J12" s="251"/>
      <c r="K12" s="188"/>
      <c r="L12" s="190"/>
    </row>
    <row r="13" spans="1:12" x14ac:dyDescent="0.2">
      <c r="A13" s="313" t="s">
        <v>160</v>
      </c>
      <c r="B13" s="314"/>
      <c r="C13" s="314"/>
      <c r="D13" s="315"/>
      <c r="E13" s="209">
        <f>'Page 3'!G8</f>
        <v>0</v>
      </c>
      <c r="F13" s="248"/>
      <c r="G13" s="249" t="s">
        <v>165</v>
      </c>
      <c r="H13" s="250"/>
      <c r="I13" s="250"/>
      <c r="J13" s="251"/>
      <c r="K13" s="209">
        <f>'Page 3'!I8</f>
        <v>0</v>
      </c>
      <c r="L13" s="210"/>
    </row>
    <row r="14" spans="1:12" x14ac:dyDescent="0.2">
      <c r="A14" s="313" t="s">
        <v>161</v>
      </c>
      <c r="B14" s="314"/>
      <c r="C14" s="314"/>
      <c r="D14" s="315"/>
      <c r="E14" s="209">
        <f>SUM('Page 3'!E24)</f>
        <v>0</v>
      </c>
      <c r="F14" s="248"/>
      <c r="G14" s="249" t="s">
        <v>166</v>
      </c>
      <c r="H14" s="250"/>
      <c r="I14" s="250"/>
      <c r="J14" s="251"/>
      <c r="K14" s="209">
        <f>SUM('Page 3'!F24)</f>
        <v>0</v>
      </c>
      <c r="L14" s="210"/>
    </row>
    <row r="15" spans="1:12" x14ac:dyDescent="0.2">
      <c r="A15" s="313" t="s">
        <v>162</v>
      </c>
      <c r="B15" s="314"/>
      <c r="C15" s="314"/>
      <c r="D15" s="315"/>
      <c r="E15" s="209">
        <f>'Page 6'!H46</f>
        <v>200000</v>
      </c>
      <c r="F15" s="248"/>
      <c r="G15" s="249" t="s">
        <v>167</v>
      </c>
      <c r="H15" s="250"/>
      <c r="I15" s="250"/>
      <c r="J15" s="251"/>
      <c r="K15" s="209">
        <f>SUM('Page 6'!I46)</f>
        <v>0</v>
      </c>
      <c r="L15" s="210"/>
    </row>
    <row r="16" spans="1:12" x14ac:dyDescent="0.2">
      <c r="A16" s="313" t="s">
        <v>163</v>
      </c>
      <c r="B16" s="314"/>
      <c r="C16" s="314"/>
      <c r="D16" s="315"/>
      <c r="E16" s="209">
        <f>'Page 3'!F50</f>
        <v>0</v>
      </c>
      <c r="F16" s="248"/>
      <c r="G16" s="249" t="s">
        <v>168</v>
      </c>
      <c r="H16" s="250"/>
      <c r="I16" s="250"/>
      <c r="J16" s="251"/>
      <c r="K16" s="209">
        <f>'Page 3'!H50</f>
        <v>0</v>
      </c>
      <c r="L16" s="210"/>
    </row>
    <row r="17" spans="1:12" x14ac:dyDescent="0.2">
      <c r="A17" s="313" t="s">
        <v>46</v>
      </c>
      <c r="B17" s="314"/>
      <c r="C17" s="314"/>
      <c r="D17" s="315"/>
      <c r="E17" s="188"/>
      <c r="F17" s="189"/>
      <c r="G17" s="249" t="s">
        <v>47</v>
      </c>
      <c r="H17" s="250"/>
      <c r="I17" s="250"/>
      <c r="J17" s="251"/>
      <c r="K17" s="188"/>
      <c r="L17" s="190"/>
    </row>
    <row r="18" spans="1:12" x14ac:dyDescent="0.2">
      <c r="A18" s="313" t="s">
        <v>164</v>
      </c>
      <c r="B18" s="314"/>
      <c r="C18" s="314"/>
      <c r="D18" s="315"/>
      <c r="E18" s="188"/>
      <c r="F18" s="189"/>
      <c r="G18" s="249" t="s">
        <v>48</v>
      </c>
      <c r="H18" s="250"/>
      <c r="I18" s="250"/>
      <c r="J18" s="251"/>
      <c r="K18" s="188"/>
      <c r="L18" s="190"/>
    </row>
    <row r="19" spans="1:12" x14ac:dyDescent="0.2">
      <c r="A19" s="313" t="s">
        <v>49</v>
      </c>
      <c r="B19" s="314"/>
      <c r="C19" s="314"/>
      <c r="D19" s="315"/>
      <c r="E19" s="188"/>
      <c r="F19" s="189"/>
      <c r="G19" s="252"/>
      <c r="H19" s="253"/>
      <c r="I19" s="253"/>
      <c r="J19" s="254"/>
      <c r="K19" s="188"/>
      <c r="L19" s="190"/>
    </row>
    <row r="20" spans="1:12" x14ac:dyDescent="0.2">
      <c r="A20" s="313" t="s">
        <v>50</v>
      </c>
      <c r="B20" s="314"/>
      <c r="C20" s="314"/>
      <c r="D20" s="315"/>
      <c r="E20" s="188"/>
      <c r="F20" s="189"/>
      <c r="G20" s="252"/>
      <c r="H20" s="253"/>
      <c r="I20" s="253"/>
      <c r="J20" s="254"/>
      <c r="K20" s="188"/>
      <c r="L20" s="190"/>
    </row>
    <row r="21" spans="1:12" x14ac:dyDescent="0.2">
      <c r="A21" s="313" t="s">
        <v>51</v>
      </c>
      <c r="B21" s="314"/>
      <c r="C21" s="314"/>
      <c r="D21" s="315"/>
      <c r="E21" s="188"/>
      <c r="F21" s="189"/>
      <c r="G21" s="252"/>
      <c r="H21" s="253"/>
      <c r="I21" s="253"/>
      <c r="J21" s="254"/>
      <c r="K21" s="188"/>
      <c r="L21" s="190"/>
    </row>
    <row r="22" spans="1:12" x14ac:dyDescent="0.2">
      <c r="A22" s="274"/>
      <c r="B22" s="275"/>
      <c r="C22" s="275"/>
      <c r="D22" s="276"/>
      <c r="E22" s="188"/>
      <c r="F22" s="189"/>
      <c r="G22" s="252"/>
      <c r="H22" s="253"/>
      <c r="I22" s="253"/>
      <c r="J22" s="254"/>
      <c r="K22" s="188"/>
      <c r="L22" s="190"/>
    </row>
    <row r="23" spans="1:12" x14ac:dyDescent="0.2">
      <c r="A23" s="274"/>
      <c r="B23" s="275"/>
      <c r="C23" s="275"/>
      <c r="D23" s="276"/>
      <c r="E23" s="188"/>
      <c r="F23" s="189"/>
      <c r="G23" s="252"/>
      <c r="H23" s="253"/>
      <c r="I23" s="253"/>
      <c r="J23" s="254"/>
      <c r="K23" s="188"/>
      <c r="L23" s="190"/>
    </row>
    <row r="24" spans="1:12" x14ac:dyDescent="0.2">
      <c r="A24" s="274"/>
      <c r="B24" s="275"/>
      <c r="C24" s="275"/>
      <c r="D24" s="276"/>
      <c r="E24" s="188"/>
      <c r="F24" s="255"/>
      <c r="G24" s="256"/>
      <c r="H24" s="257"/>
      <c r="I24" s="257"/>
      <c r="J24" s="258"/>
      <c r="K24" s="188"/>
      <c r="L24" s="190"/>
    </row>
    <row r="25" spans="1:12" x14ac:dyDescent="0.2">
      <c r="A25" s="274"/>
      <c r="B25" s="275"/>
      <c r="C25" s="275"/>
      <c r="D25" s="276"/>
      <c r="E25" s="188"/>
      <c r="F25" s="189"/>
      <c r="G25" s="271"/>
      <c r="H25" s="272"/>
      <c r="I25" s="272"/>
      <c r="J25" s="273"/>
      <c r="K25" s="218"/>
      <c r="L25" s="263"/>
    </row>
    <row r="26" spans="1:12" x14ac:dyDescent="0.2">
      <c r="A26" s="274"/>
      <c r="B26" s="275"/>
      <c r="C26" s="275"/>
      <c r="D26" s="276"/>
      <c r="E26" s="188"/>
      <c r="F26" s="189"/>
      <c r="G26" s="17"/>
      <c r="H26" s="17"/>
      <c r="I26" s="277" t="s">
        <v>52</v>
      </c>
      <c r="J26" s="278"/>
      <c r="K26" s="264">
        <f>SUM(K4:L25)</f>
        <v>10</v>
      </c>
      <c r="L26" s="265"/>
    </row>
    <row r="27" spans="1:12" ht="12" thickBot="1" x14ac:dyDescent="0.25">
      <c r="A27" s="274"/>
      <c r="B27" s="275"/>
      <c r="C27" s="275"/>
      <c r="D27" s="276"/>
      <c r="E27" s="218"/>
      <c r="F27" s="219"/>
      <c r="G27" s="18"/>
      <c r="H27" s="17"/>
      <c r="I27" s="277" t="s">
        <v>53</v>
      </c>
      <c r="J27" s="278"/>
      <c r="K27" s="264">
        <f>E28-K26</f>
        <v>200040</v>
      </c>
      <c r="L27" s="265"/>
    </row>
    <row r="28" spans="1:12" ht="12" thickBot="1" x14ac:dyDescent="0.25">
      <c r="A28" s="19"/>
      <c r="B28" s="19"/>
      <c r="C28" s="281" t="s">
        <v>54</v>
      </c>
      <c r="D28" s="282"/>
      <c r="E28" s="266">
        <f>SUM(E4:F27)</f>
        <v>200050</v>
      </c>
      <c r="F28" s="267"/>
      <c r="G28" s="20" t="s">
        <v>55</v>
      </c>
      <c r="H28" s="279" t="s">
        <v>169</v>
      </c>
      <c r="I28" s="279"/>
      <c r="J28" s="280"/>
      <c r="K28" s="266">
        <f>SUM(K26:L27)</f>
        <v>200050</v>
      </c>
      <c r="L28" s="267"/>
    </row>
    <row r="29" spans="1:12" ht="12" thickTop="1" x14ac:dyDescent="0.2">
      <c r="A29" s="21"/>
      <c r="B29" s="21"/>
      <c r="C29" s="21"/>
      <c r="D29" s="21"/>
      <c r="E29" s="21"/>
      <c r="F29" s="21"/>
      <c r="G29" s="21"/>
      <c r="H29" s="21"/>
      <c r="I29" s="21"/>
      <c r="J29" s="21"/>
      <c r="K29" s="21"/>
      <c r="L29" s="21"/>
    </row>
    <row r="30" spans="1:12" x14ac:dyDescent="0.2">
      <c r="A30" s="268" t="s">
        <v>56</v>
      </c>
      <c r="B30" s="268"/>
      <c r="C30" s="268"/>
      <c r="D30" s="268"/>
      <c r="E30" s="268"/>
      <c r="F30" s="268"/>
      <c r="G30" s="268"/>
      <c r="H30" s="268"/>
      <c r="I30" s="268"/>
      <c r="J30" s="268"/>
      <c r="K30" s="268"/>
      <c r="L30" s="268"/>
    </row>
    <row r="31" spans="1:12" x14ac:dyDescent="0.2">
      <c r="A31" s="21"/>
      <c r="B31" s="22"/>
      <c r="C31" s="22"/>
      <c r="D31" s="23"/>
      <c r="E31" s="23"/>
      <c r="F31" s="305" t="s">
        <v>57</v>
      </c>
      <c r="G31" s="305"/>
      <c r="H31" s="305"/>
      <c r="I31" s="305"/>
      <c r="J31" s="305"/>
      <c r="K31" s="22" t="s">
        <v>58</v>
      </c>
      <c r="L31" s="22"/>
    </row>
    <row r="32" spans="1:12" ht="12" thickBot="1" x14ac:dyDescent="0.25">
      <c r="A32" s="23"/>
      <c r="B32" s="23"/>
      <c r="C32" s="23"/>
      <c r="D32" s="23"/>
      <c r="E32" s="23"/>
      <c r="F32" s="23"/>
      <c r="G32" s="23"/>
      <c r="H32" s="23"/>
      <c r="I32" s="23"/>
      <c r="J32" s="23"/>
      <c r="K32" s="23"/>
      <c r="L32" s="23"/>
    </row>
    <row r="33" spans="1:12" ht="12" thickBot="1" x14ac:dyDescent="0.25">
      <c r="A33" s="242" t="s">
        <v>59</v>
      </c>
      <c r="B33" s="243"/>
      <c r="C33" s="243"/>
      <c r="D33" s="243"/>
      <c r="E33" s="243"/>
      <c r="F33" s="243"/>
      <c r="G33" s="243"/>
      <c r="H33" s="243"/>
      <c r="I33" s="243"/>
      <c r="J33" s="243"/>
      <c r="K33" s="243"/>
      <c r="L33" s="244"/>
    </row>
    <row r="34" spans="1:12" x14ac:dyDescent="0.2">
      <c r="A34" s="24"/>
      <c r="B34" s="25"/>
      <c r="C34" s="25"/>
      <c r="D34" s="25"/>
      <c r="E34" s="25"/>
      <c r="F34" s="25"/>
      <c r="G34" s="25"/>
      <c r="H34" s="25"/>
      <c r="I34" s="25" t="s">
        <v>60</v>
      </c>
      <c r="J34" s="25" t="s">
        <v>61</v>
      </c>
      <c r="K34" s="269" t="s">
        <v>62</v>
      </c>
      <c r="L34" s="270"/>
    </row>
    <row r="35" spans="1:12" x14ac:dyDescent="0.2">
      <c r="A35" s="26" t="s">
        <v>170</v>
      </c>
      <c r="B35" s="21"/>
      <c r="C35" s="21"/>
      <c r="D35" s="21"/>
      <c r="E35" s="21"/>
      <c r="F35" s="21"/>
      <c r="G35" s="21"/>
      <c r="H35" s="21"/>
      <c r="I35" s="118"/>
      <c r="J35" s="119"/>
      <c r="K35" s="259"/>
      <c r="L35" s="260"/>
    </row>
    <row r="36" spans="1:12" x14ac:dyDescent="0.2">
      <c r="A36" s="26" t="s">
        <v>63</v>
      </c>
      <c r="B36" s="21"/>
      <c r="C36" s="21"/>
      <c r="D36" s="21"/>
      <c r="E36" s="21"/>
      <c r="F36" s="21"/>
      <c r="G36" s="27"/>
      <c r="H36" s="21"/>
      <c r="I36" s="119"/>
      <c r="J36" s="118"/>
      <c r="K36" s="259"/>
      <c r="L36" s="260"/>
    </row>
    <row r="37" spans="1:12" x14ac:dyDescent="0.2">
      <c r="A37" s="26" t="s">
        <v>64</v>
      </c>
      <c r="B37" s="21"/>
      <c r="C37" s="21"/>
      <c r="D37" s="21"/>
      <c r="E37" s="21"/>
      <c r="F37" s="21"/>
      <c r="G37" s="27"/>
      <c r="H37" s="21"/>
      <c r="I37" s="119"/>
      <c r="J37" s="119"/>
      <c r="K37" s="259"/>
      <c r="L37" s="260"/>
    </row>
    <row r="38" spans="1:12" x14ac:dyDescent="0.2">
      <c r="A38" s="26" t="s">
        <v>65</v>
      </c>
      <c r="B38" s="21"/>
      <c r="C38" s="21"/>
      <c r="D38" s="21"/>
      <c r="E38" s="21"/>
      <c r="F38" s="21"/>
      <c r="G38" s="21"/>
      <c r="H38" s="21"/>
      <c r="I38" s="119"/>
      <c r="J38" s="119"/>
      <c r="K38" s="259"/>
      <c r="L38" s="260"/>
    </row>
    <row r="39" spans="1:12" x14ac:dyDescent="0.2">
      <c r="A39" s="26" t="s">
        <v>66</v>
      </c>
      <c r="B39" s="21"/>
      <c r="C39" s="21"/>
      <c r="D39" s="21"/>
      <c r="E39" s="21"/>
      <c r="F39" s="21"/>
      <c r="G39" s="21"/>
      <c r="H39" s="21"/>
      <c r="I39" s="118"/>
      <c r="J39" s="118"/>
      <c r="K39" s="259">
        <v>0</v>
      </c>
      <c r="L39" s="260"/>
    </row>
    <row r="40" spans="1:12" x14ac:dyDescent="0.2">
      <c r="A40" s="26" t="s">
        <v>67</v>
      </c>
      <c r="B40" s="21"/>
      <c r="C40" s="21"/>
      <c r="D40" s="21"/>
      <c r="E40" s="21"/>
      <c r="F40" s="21"/>
      <c r="G40" s="21"/>
      <c r="H40" s="21"/>
      <c r="I40" s="119"/>
      <c r="J40" s="119">
        <v>0</v>
      </c>
      <c r="K40" s="261"/>
      <c r="L40" s="262"/>
    </row>
    <row r="41" spans="1:12" x14ac:dyDescent="0.2">
      <c r="A41" s="28" t="s">
        <v>68</v>
      </c>
      <c r="B41" s="29"/>
      <c r="C41" s="29"/>
      <c r="D41" s="29"/>
      <c r="E41" s="29"/>
      <c r="F41" s="29"/>
      <c r="G41" s="29"/>
      <c r="H41" s="29"/>
      <c r="I41" s="29"/>
      <c r="J41" s="29"/>
      <c r="K41" s="29"/>
      <c r="L41" s="30"/>
    </row>
    <row r="42" spans="1:12" ht="12" thickBot="1" x14ac:dyDescent="0.25">
      <c r="A42" s="31"/>
      <c r="B42" s="23"/>
      <c r="C42" s="23"/>
      <c r="D42" s="23"/>
      <c r="E42" s="23"/>
      <c r="F42" s="23"/>
      <c r="G42" s="23"/>
      <c r="H42" s="23"/>
      <c r="I42" s="23"/>
      <c r="J42" s="23"/>
      <c r="K42" s="23"/>
      <c r="L42" s="23"/>
    </row>
    <row r="43" spans="1:12" ht="12" thickBot="1" x14ac:dyDescent="0.25">
      <c r="A43" s="242" t="s">
        <v>69</v>
      </c>
      <c r="B43" s="243"/>
      <c r="C43" s="243"/>
      <c r="D43" s="243"/>
      <c r="E43" s="243"/>
      <c r="F43" s="243"/>
      <c r="G43" s="243"/>
      <c r="H43" s="243"/>
      <c r="I43" s="243"/>
      <c r="J43" s="243"/>
      <c r="K43" s="243"/>
      <c r="L43" s="244"/>
    </row>
    <row r="44" spans="1:12" x14ac:dyDescent="0.2">
      <c r="A44" s="298" t="s">
        <v>70</v>
      </c>
      <c r="B44" s="283" t="s">
        <v>71</v>
      </c>
      <c r="C44" s="300"/>
      <c r="D44" s="284"/>
      <c r="E44" s="302" t="s">
        <v>72</v>
      </c>
      <c r="F44" s="298" t="s">
        <v>73</v>
      </c>
      <c r="G44" s="283" t="s">
        <v>74</v>
      </c>
      <c r="H44" s="284"/>
      <c r="I44" s="283" t="s">
        <v>75</v>
      </c>
      <c r="J44" s="284"/>
      <c r="K44" s="287" t="s">
        <v>76</v>
      </c>
      <c r="L44" s="288"/>
    </row>
    <row r="45" spans="1:12" x14ac:dyDescent="0.2">
      <c r="A45" s="299"/>
      <c r="B45" s="285"/>
      <c r="C45" s="301"/>
      <c r="D45" s="286"/>
      <c r="E45" s="303"/>
      <c r="F45" s="299"/>
      <c r="G45" s="285"/>
      <c r="H45" s="286"/>
      <c r="I45" s="285"/>
      <c r="J45" s="286"/>
      <c r="K45" s="32" t="s">
        <v>60</v>
      </c>
      <c r="L45" s="32" t="s">
        <v>61</v>
      </c>
    </row>
    <row r="46" spans="1:12" x14ac:dyDescent="0.2">
      <c r="A46" s="289" t="s">
        <v>77</v>
      </c>
      <c r="B46" s="290"/>
      <c r="C46" s="290"/>
      <c r="D46" s="290"/>
      <c r="E46" s="290"/>
      <c r="F46" s="290"/>
      <c r="G46" s="290"/>
      <c r="H46" s="290"/>
      <c r="I46" s="290"/>
      <c r="J46" s="290"/>
      <c r="K46" s="290"/>
      <c r="L46" s="291"/>
    </row>
    <row r="47" spans="1:12" x14ac:dyDescent="0.2">
      <c r="A47" s="120"/>
      <c r="B47" s="292"/>
      <c r="C47" s="293"/>
      <c r="D47" s="294"/>
      <c r="E47" s="120"/>
      <c r="F47" s="120"/>
      <c r="G47" s="295"/>
      <c r="H47" s="296"/>
      <c r="I47" s="297"/>
      <c r="J47" s="296"/>
      <c r="K47" s="121"/>
      <c r="L47" s="121"/>
    </row>
    <row r="48" spans="1:12" x14ac:dyDescent="0.2">
      <c r="A48" s="122"/>
      <c r="B48" s="292"/>
      <c r="C48" s="293"/>
      <c r="D48" s="294"/>
      <c r="E48" s="122"/>
      <c r="F48" s="122"/>
      <c r="G48" s="295"/>
      <c r="H48" s="296"/>
      <c r="I48" s="297"/>
      <c r="J48" s="296"/>
      <c r="K48" s="122"/>
      <c r="L48" s="122"/>
    </row>
    <row r="49" spans="1:12" x14ac:dyDescent="0.2">
      <c r="A49" s="122"/>
      <c r="B49" s="292"/>
      <c r="C49" s="293"/>
      <c r="D49" s="294"/>
      <c r="E49" s="122"/>
      <c r="F49" s="122"/>
      <c r="G49" s="295"/>
      <c r="H49" s="296"/>
      <c r="I49" s="297"/>
      <c r="J49" s="296"/>
      <c r="K49" s="122"/>
      <c r="L49" s="122"/>
    </row>
    <row r="50" spans="1:12" x14ac:dyDescent="0.2">
      <c r="A50" s="122"/>
      <c r="B50" s="292"/>
      <c r="C50" s="293"/>
      <c r="D50" s="294"/>
      <c r="E50" s="122"/>
      <c r="F50" s="122"/>
      <c r="G50" s="295"/>
      <c r="H50" s="296"/>
      <c r="I50" s="297"/>
      <c r="J50" s="296"/>
      <c r="K50" s="122"/>
      <c r="L50" s="122"/>
    </row>
    <row r="51" spans="1:12" x14ac:dyDescent="0.2">
      <c r="A51" s="33"/>
      <c r="B51" s="309"/>
      <c r="C51" s="309"/>
      <c r="D51" s="309"/>
      <c r="E51" s="33"/>
      <c r="F51" s="33"/>
      <c r="G51" s="310"/>
      <c r="H51" s="310"/>
      <c r="I51" s="311">
        <f>SUM(I47:J50)</f>
        <v>0</v>
      </c>
      <c r="J51" s="312"/>
      <c r="K51" s="34"/>
      <c r="L51" s="33"/>
    </row>
    <row r="52" spans="1:12" x14ac:dyDescent="0.2">
      <c r="A52" s="306" t="s">
        <v>78</v>
      </c>
      <c r="B52" s="307"/>
      <c r="C52" s="307"/>
      <c r="D52" s="307"/>
      <c r="E52" s="307"/>
      <c r="F52" s="307"/>
      <c r="G52" s="307"/>
      <c r="H52" s="307"/>
      <c r="I52" s="307"/>
      <c r="J52" s="307"/>
      <c r="K52" s="307"/>
      <c r="L52" s="308"/>
    </row>
    <row r="53" spans="1:12" x14ac:dyDescent="0.2">
      <c r="A53" s="123"/>
      <c r="B53" s="292"/>
      <c r="C53" s="293"/>
      <c r="D53" s="294"/>
      <c r="E53" s="120"/>
      <c r="F53" s="120"/>
      <c r="G53" s="295"/>
      <c r="H53" s="296"/>
      <c r="I53" s="295"/>
      <c r="J53" s="296"/>
      <c r="K53" s="120"/>
      <c r="L53" s="120"/>
    </row>
    <row r="54" spans="1:12" x14ac:dyDescent="0.2">
      <c r="A54" s="123"/>
      <c r="B54" s="292"/>
      <c r="C54" s="293"/>
      <c r="D54" s="294"/>
      <c r="E54" s="120"/>
      <c r="F54" s="120"/>
      <c r="G54" s="295"/>
      <c r="H54" s="296"/>
      <c r="I54" s="295"/>
      <c r="J54" s="296"/>
      <c r="K54" s="120"/>
      <c r="L54" s="120"/>
    </row>
    <row r="55" spans="1:12" x14ac:dyDescent="0.2">
      <c r="A55" s="124"/>
      <c r="B55" s="292"/>
      <c r="C55" s="293"/>
      <c r="D55" s="294"/>
      <c r="E55" s="122"/>
      <c r="F55" s="122"/>
      <c r="G55" s="295"/>
      <c r="H55" s="296"/>
      <c r="I55" s="295"/>
      <c r="J55" s="296"/>
      <c r="K55" s="122"/>
      <c r="L55" s="122"/>
    </row>
    <row r="56" spans="1:12" x14ac:dyDescent="0.2">
      <c r="A56" s="35"/>
      <c r="B56" s="35"/>
      <c r="C56" s="35"/>
      <c r="D56" s="35"/>
      <c r="E56" s="35"/>
      <c r="F56" s="35"/>
      <c r="G56" s="35"/>
      <c r="H56" s="35"/>
      <c r="I56" s="319">
        <f>SUM(I53:J55)</f>
        <v>0</v>
      </c>
      <c r="J56" s="319"/>
      <c r="K56" s="35"/>
      <c r="L56" s="35"/>
    </row>
  </sheetData>
  <sheetProtection selectLockedCells="1"/>
  <mergeCells count="149">
    <mergeCell ref="I56:J56"/>
    <mergeCell ref="A43:L43"/>
    <mergeCell ref="K7:L7"/>
    <mergeCell ref="K4:L4"/>
    <mergeCell ref="A22:D22"/>
    <mergeCell ref="A23:D23"/>
    <mergeCell ref="A24:D24"/>
    <mergeCell ref="A25:D25"/>
    <mergeCell ref="A26:D26"/>
    <mergeCell ref="A21:D21"/>
    <mergeCell ref="A4:D4"/>
    <mergeCell ref="A5:D5"/>
    <mergeCell ref="A6:D6"/>
    <mergeCell ref="A7:D7"/>
    <mergeCell ref="A8:D8"/>
    <mergeCell ref="A16:D16"/>
    <mergeCell ref="A17:D17"/>
    <mergeCell ref="A18:D18"/>
    <mergeCell ref="A19:D19"/>
    <mergeCell ref="A20:D20"/>
    <mergeCell ref="A11:D11"/>
    <mergeCell ref="A12:D12"/>
    <mergeCell ref="A13:D13"/>
    <mergeCell ref="A14:D14"/>
    <mergeCell ref="A15:D15"/>
    <mergeCell ref="A10:D10"/>
    <mergeCell ref="G4:J4"/>
    <mergeCell ref="G5:J5"/>
    <mergeCell ref="G6:J6"/>
    <mergeCell ref="G7:J7"/>
    <mergeCell ref="G8:J8"/>
    <mergeCell ref="G9:J9"/>
    <mergeCell ref="E13:F13"/>
    <mergeCell ref="E9:F9"/>
    <mergeCell ref="A9:D9"/>
    <mergeCell ref="A1:L1"/>
    <mergeCell ref="F31:J31"/>
    <mergeCell ref="B55:D55"/>
    <mergeCell ref="G55:H55"/>
    <mergeCell ref="I55:J55"/>
    <mergeCell ref="A52:L52"/>
    <mergeCell ref="B53:D53"/>
    <mergeCell ref="G53:H53"/>
    <mergeCell ref="I53:J53"/>
    <mergeCell ref="B54:D54"/>
    <mergeCell ref="G54:H54"/>
    <mergeCell ref="I54:J54"/>
    <mergeCell ref="B50:D50"/>
    <mergeCell ref="G50:H50"/>
    <mergeCell ref="I50:J50"/>
    <mergeCell ref="B51:D51"/>
    <mergeCell ref="G51:H51"/>
    <mergeCell ref="I51:J51"/>
    <mergeCell ref="B48:D48"/>
    <mergeCell ref="G48:H48"/>
    <mergeCell ref="I48:J48"/>
    <mergeCell ref="B49:D49"/>
    <mergeCell ref="G49:H49"/>
    <mergeCell ref="I49:J49"/>
    <mergeCell ref="I44:J45"/>
    <mergeCell ref="K44:L44"/>
    <mergeCell ref="A46:L46"/>
    <mergeCell ref="B47:D47"/>
    <mergeCell ref="G47:H47"/>
    <mergeCell ref="I47:J47"/>
    <mergeCell ref="A44:A45"/>
    <mergeCell ref="B44:D45"/>
    <mergeCell ref="E44:E45"/>
    <mergeCell ref="F44:F45"/>
    <mergeCell ref="G44:H45"/>
    <mergeCell ref="K36:L36"/>
    <mergeCell ref="K37:L37"/>
    <mergeCell ref="K38:L38"/>
    <mergeCell ref="K39:L39"/>
    <mergeCell ref="K40:L40"/>
    <mergeCell ref="K35:L35"/>
    <mergeCell ref="E25:F25"/>
    <mergeCell ref="K25:L25"/>
    <mergeCell ref="E26:F26"/>
    <mergeCell ref="K26:L26"/>
    <mergeCell ref="E27:F27"/>
    <mergeCell ref="K27:L27"/>
    <mergeCell ref="E28:F28"/>
    <mergeCell ref="K28:L28"/>
    <mergeCell ref="A30:L30"/>
    <mergeCell ref="A33:L33"/>
    <mergeCell ref="K34:L34"/>
    <mergeCell ref="G25:J25"/>
    <mergeCell ref="A27:D27"/>
    <mergeCell ref="I26:J26"/>
    <mergeCell ref="I27:J27"/>
    <mergeCell ref="H28:J28"/>
    <mergeCell ref="C28:D28"/>
    <mergeCell ref="E22:F22"/>
    <mergeCell ref="K22:L22"/>
    <mergeCell ref="E23:F23"/>
    <mergeCell ref="K23:L23"/>
    <mergeCell ref="E24:F24"/>
    <mergeCell ref="K24:L24"/>
    <mergeCell ref="G22:J22"/>
    <mergeCell ref="G23:J23"/>
    <mergeCell ref="G24:J24"/>
    <mergeCell ref="E19:F19"/>
    <mergeCell ref="K19:L19"/>
    <mergeCell ref="E20:F20"/>
    <mergeCell ref="K20:L20"/>
    <mergeCell ref="E21:F21"/>
    <mergeCell ref="K21:L21"/>
    <mergeCell ref="G19:J19"/>
    <mergeCell ref="G20:J20"/>
    <mergeCell ref="G21:J21"/>
    <mergeCell ref="E16:F16"/>
    <mergeCell ref="K16:L16"/>
    <mergeCell ref="E17:F17"/>
    <mergeCell ref="K17:L17"/>
    <mergeCell ref="E18:F18"/>
    <mergeCell ref="K18:L18"/>
    <mergeCell ref="G16:J16"/>
    <mergeCell ref="G17:J17"/>
    <mergeCell ref="G18:J18"/>
    <mergeCell ref="K13:L13"/>
    <mergeCell ref="E14:F14"/>
    <mergeCell ref="K14:L14"/>
    <mergeCell ref="E15:F15"/>
    <mergeCell ref="K15:L15"/>
    <mergeCell ref="G13:J13"/>
    <mergeCell ref="G14:J14"/>
    <mergeCell ref="G15:J15"/>
    <mergeCell ref="E10:F10"/>
    <mergeCell ref="K10:L10"/>
    <mergeCell ref="E11:F11"/>
    <mergeCell ref="K11:L11"/>
    <mergeCell ref="E12:F12"/>
    <mergeCell ref="K12:L12"/>
    <mergeCell ref="G11:J11"/>
    <mergeCell ref="G12:J12"/>
    <mergeCell ref="G10:J10"/>
    <mergeCell ref="K9:L9"/>
    <mergeCell ref="A2:L2"/>
    <mergeCell ref="E3:F3"/>
    <mergeCell ref="K3:L3"/>
    <mergeCell ref="E4:F4"/>
    <mergeCell ref="E5:F5"/>
    <mergeCell ref="K5:L5"/>
    <mergeCell ref="E6:F6"/>
    <mergeCell ref="K6:L6"/>
    <mergeCell ref="E7:F7"/>
    <mergeCell ref="E8:F8"/>
    <mergeCell ref="K8:L8"/>
  </mergeCells>
  <pageMargins left="0.25" right="0.25" top="0.75" bottom="0.75" header="0.3" footer="0.3"/>
  <pageSetup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2"/>
  <sheetViews>
    <sheetView view="pageLayout" topLeftCell="A4" zoomScaleNormal="85" workbookViewId="0">
      <selection activeCell="I24" sqref="I24"/>
    </sheetView>
  </sheetViews>
  <sheetFormatPr defaultColWidth="9.140625" defaultRowHeight="11.25" x14ac:dyDescent="0.2"/>
  <cols>
    <col min="1" max="1" width="18.5703125" style="11" bestFit="1" customWidth="1"/>
    <col min="2" max="2" width="12.140625" style="11" customWidth="1"/>
    <col min="3" max="3" width="7.28515625" style="11" bestFit="1" customWidth="1"/>
    <col min="4" max="4" width="8.42578125" style="11" customWidth="1"/>
    <col min="5" max="5" width="8.85546875" style="11" customWidth="1"/>
    <col min="6" max="6" width="9.5703125" style="11" customWidth="1"/>
    <col min="7" max="7" width="7.5703125" style="11" customWidth="1"/>
    <col min="8" max="8" width="8.85546875" style="11" customWidth="1"/>
    <col min="9" max="9" width="8.7109375" style="11" customWidth="1"/>
    <col min="10" max="10" width="10.85546875" style="11" customWidth="1"/>
    <col min="11" max="16384" width="9.140625" style="11"/>
  </cols>
  <sheetData>
    <row r="1" spans="1:10" ht="12" thickBot="1" x14ac:dyDescent="0.25">
      <c r="A1" s="191" t="s">
        <v>79</v>
      </c>
      <c r="B1" s="192"/>
      <c r="C1" s="192"/>
      <c r="D1" s="192"/>
      <c r="E1" s="192"/>
      <c r="F1" s="192"/>
      <c r="G1" s="192"/>
      <c r="H1" s="192"/>
      <c r="I1" s="192"/>
      <c r="J1" s="193"/>
    </row>
    <row r="2" spans="1:10" x14ac:dyDescent="0.2">
      <c r="A2" s="322" t="s">
        <v>80</v>
      </c>
      <c r="B2" s="323" t="s">
        <v>81</v>
      </c>
      <c r="C2" s="324"/>
      <c r="D2" s="322" t="s">
        <v>82</v>
      </c>
      <c r="E2" s="323" t="s">
        <v>83</v>
      </c>
      <c r="F2" s="324"/>
      <c r="G2" s="323" t="s">
        <v>84</v>
      </c>
      <c r="H2" s="324"/>
      <c r="I2" s="327" t="s">
        <v>85</v>
      </c>
      <c r="J2" s="327" t="s">
        <v>86</v>
      </c>
    </row>
    <row r="3" spans="1:10" x14ac:dyDescent="0.2">
      <c r="A3" s="322"/>
      <c r="B3" s="325"/>
      <c r="C3" s="326"/>
      <c r="D3" s="322"/>
      <c r="E3" s="325"/>
      <c r="F3" s="326"/>
      <c r="G3" s="325"/>
      <c r="H3" s="326"/>
      <c r="I3" s="328"/>
      <c r="J3" s="329"/>
    </row>
    <row r="4" spans="1:10" x14ac:dyDescent="0.2">
      <c r="A4" s="125"/>
      <c r="B4" s="330"/>
      <c r="C4" s="331"/>
      <c r="D4" s="126"/>
      <c r="E4" s="332"/>
      <c r="F4" s="333"/>
      <c r="G4" s="330"/>
      <c r="H4" s="331"/>
      <c r="I4" s="127"/>
      <c r="J4" s="126"/>
    </row>
    <row r="5" spans="1:10" x14ac:dyDescent="0.2">
      <c r="A5" s="125"/>
      <c r="B5" s="330"/>
      <c r="C5" s="331"/>
      <c r="D5" s="126"/>
      <c r="E5" s="332"/>
      <c r="F5" s="333"/>
      <c r="G5" s="330"/>
      <c r="H5" s="331"/>
      <c r="I5" s="127"/>
      <c r="J5" s="126"/>
    </row>
    <row r="6" spans="1:10" x14ac:dyDescent="0.2">
      <c r="A6" s="125"/>
      <c r="B6" s="330"/>
      <c r="C6" s="331"/>
      <c r="D6" s="126"/>
      <c r="E6" s="332"/>
      <c r="F6" s="333"/>
      <c r="G6" s="330"/>
      <c r="H6" s="331"/>
      <c r="I6" s="127"/>
      <c r="J6" s="126"/>
    </row>
    <row r="7" spans="1:10" x14ac:dyDescent="0.2">
      <c r="A7" s="125"/>
      <c r="B7" s="330"/>
      <c r="C7" s="331"/>
      <c r="D7" s="126"/>
      <c r="E7" s="332"/>
      <c r="F7" s="333"/>
      <c r="G7" s="330"/>
      <c r="H7" s="331"/>
      <c r="I7" s="127"/>
      <c r="J7" s="126"/>
    </row>
    <row r="8" spans="1:10" x14ac:dyDescent="0.2">
      <c r="A8" s="36"/>
      <c r="B8" s="335">
        <f>SUM(B4:C7)</f>
        <v>0</v>
      </c>
      <c r="C8" s="335"/>
      <c r="D8" s="37"/>
      <c r="E8" s="336"/>
      <c r="F8" s="336"/>
      <c r="G8" s="335">
        <f>SUM(G4:H7)</f>
        <v>0</v>
      </c>
      <c r="H8" s="335"/>
      <c r="I8" s="99">
        <f>SUM(I4:I7)</f>
        <v>0</v>
      </c>
      <c r="J8" s="37"/>
    </row>
    <row r="9" spans="1:10" x14ac:dyDescent="0.2">
      <c r="A9" s="334" t="s">
        <v>87</v>
      </c>
      <c r="B9" s="334"/>
      <c r="C9" s="334"/>
      <c r="D9" s="334"/>
      <c r="E9" s="334"/>
      <c r="F9" s="337" t="s">
        <v>88</v>
      </c>
      <c r="G9" s="223"/>
      <c r="H9" s="224"/>
      <c r="I9" s="334" t="s">
        <v>89</v>
      </c>
      <c r="J9" s="334"/>
    </row>
    <row r="10" spans="1:10" x14ac:dyDescent="0.2">
      <c r="A10" s="237" t="s">
        <v>90</v>
      </c>
      <c r="B10" s="198"/>
      <c r="C10" s="198"/>
      <c r="D10" s="198"/>
      <c r="E10" s="199"/>
      <c r="F10" s="338"/>
      <c r="G10" s="339"/>
      <c r="H10" s="340"/>
      <c r="I10" s="338"/>
      <c r="J10" s="340"/>
    </row>
    <row r="11" spans="1:10" x14ac:dyDescent="0.2">
      <c r="A11" s="237" t="s">
        <v>91</v>
      </c>
      <c r="B11" s="198"/>
      <c r="C11" s="198"/>
      <c r="D11" s="198"/>
      <c r="E11" s="199"/>
      <c r="F11" s="338"/>
      <c r="G11" s="339"/>
      <c r="H11" s="340"/>
      <c r="I11" s="338"/>
      <c r="J11" s="340"/>
    </row>
    <row r="12" spans="1:10" ht="12" thickBot="1" x14ac:dyDescent="0.25"/>
    <row r="13" spans="1:10" ht="12" thickBot="1" x14ac:dyDescent="0.25">
      <c r="A13" s="191" t="s">
        <v>92</v>
      </c>
      <c r="B13" s="192"/>
      <c r="C13" s="192"/>
      <c r="D13" s="192"/>
      <c r="E13" s="192"/>
      <c r="F13" s="192"/>
      <c r="G13" s="192"/>
      <c r="H13" s="192"/>
      <c r="I13" s="192"/>
      <c r="J13" s="193"/>
    </row>
    <row r="14" spans="1:10" x14ac:dyDescent="0.2">
      <c r="A14" s="238" t="s">
        <v>93</v>
      </c>
      <c r="B14" s="239"/>
      <c r="C14" s="239"/>
      <c r="D14" s="239"/>
      <c r="E14" s="239"/>
      <c r="F14" s="239"/>
      <c r="G14" s="239"/>
      <c r="H14" s="239"/>
      <c r="I14" s="239"/>
      <c r="J14" s="240"/>
    </row>
    <row r="15" spans="1:10" x14ac:dyDescent="0.2">
      <c r="A15" s="334" t="s">
        <v>94</v>
      </c>
      <c r="B15" s="334" t="s">
        <v>95</v>
      </c>
      <c r="C15" s="342" t="s">
        <v>96</v>
      </c>
      <c r="D15" s="342"/>
      <c r="E15" s="322" t="s">
        <v>97</v>
      </c>
      <c r="F15" s="322" t="s">
        <v>197</v>
      </c>
      <c r="G15" s="334" t="s">
        <v>98</v>
      </c>
      <c r="H15" s="343" t="s">
        <v>198</v>
      </c>
      <c r="I15" s="322" t="s">
        <v>99</v>
      </c>
      <c r="J15" s="334" t="s">
        <v>100</v>
      </c>
    </row>
    <row r="16" spans="1:10" x14ac:dyDescent="0.2">
      <c r="A16" s="341"/>
      <c r="B16" s="341"/>
      <c r="C16" s="38" t="s">
        <v>129</v>
      </c>
      <c r="D16" s="38" t="s">
        <v>101</v>
      </c>
      <c r="E16" s="322"/>
      <c r="F16" s="322"/>
      <c r="G16" s="341"/>
      <c r="H16" s="343"/>
      <c r="I16" s="322"/>
      <c r="J16" s="341"/>
    </row>
    <row r="17" spans="1:10" x14ac:dyDescent="0.2">
      <c r="A17" s="128">
        <f>'Page 1'!A10</f>
        <v>0</v>
      </c>
      <c r="B17" s="126"/>
      <c r="C17" s="129"/>
      <c r="D17" s="130"/>
      <c r="E17" s="130"/>
      <c r="F17" s="130"/>
      <c r="G17" s="131"/>
      <c r="H17" s="132"/>
      <c r="I17" s="130">
        <v>1364.73</v>
      </c>
      <c r="J17" s="126"/>
    </row>
    <row r="18" spans="1:10" x14ac:dyDescent="0.2">
      <c r="A18" s="128"/>
      <c r="B18" s="133"/>
      <c r="C18" s="132"/>
      <c r="D18" s="130"/>
      <c r="E18" s="130"/>
      <c r="F18" s="130"/>
      <c r="G18" s="131"/>
      <c r="H18" s="126"/>
      <c r="I18" s="130"/>
      <c r="J18" s="126"/>
    </row>
    <row r="19" spans="1:10" x14ac:dyDescent="0.2">
      <c r="A19" s="125"/>
      <c r="B19" s="126"/>
      <c r="C19" s="132"/>
      <c r="D19" s="130"/>
      <c r="E19" s="130"/>
      <c r="F19" s="130"/>
      <c r="G19" s="131"/>
      <c r="H19" s="126"/>
      <c r="I19" s="130"/>
      <c r="J19" s="126"/>
    </row>
    <row r="20" spans="1:10" x14ac:dyDescent="0.2">
      <c r="A20" s="125"/>
      <c r="B20" s="126"/>
      <c r="C20" s="132"/>
      <c r="D20" s="130"/>
      <c r="E20" s="130"/>
      <c r="F20" s="130"/>
      <c r="G20" s="131"/>
      <c r="H20" s="126"/>
      <c r="I20" s="130"/>
      <c r="J20" s="126"/>
    </row>
    <row r="21" spans="1:10" x14ac:dyDescent="0.2">
      <c r="A21" s="125"/>
      <c r="B21" s="126"/>
      <c r="C21" s="132"/>
      <c r="D21" s="130"/>
      <c r="E21" s="130"/>
      <c r="F21" s="130"/>
      <c r="G21" s="131"/>
      <c r="H21" s="126"/>
      <c r="I21" s="130"/>
      <c r="J21" s="126"/>
    </row>
    <row r="22" spans="1:10" x14ac:dyDescent="0.2">
      <c r="A22" s="125"/>
      <c r="B22" s="126"/>
      <c r="C22" s="132"/>
      <c r="D22" s="130"/>
      <c r="E22" s="130"/>
      <c r="F22" s="130"/>
      <c r="G22" s="131"/>
      <c r="H22" s="126"/>
      <c r="I22" s="130"/>
      <c r="J22" s="126"/>
    </row>
    <row r="23" spans="1:10" x14ac:dyDescent="0.2">
      <c r="A23" s="125"/>
      <c r="B23" s="126"/>
      <c r="C23" s="132"/>
      <c r="D23" s="130"/>
      <c r="E23" s="130"/>
      <c r="F23" s="130"/>
      <c r="G23" s="131"/>
      <c r="H23" s="126"/>
      <c r="I23" s="130"/>
      <c r="J23" s="126"/>
    </row>
    <row r="24" spans="1:10" ht="12" thickBot="1" x14ac:dyDescent="0.25">
      <c r="A24" s="39"/>
      <c r="B24" s="40"/>
      <c r="C24" s="40"/>
      <c r="D24" s="41"/>
      <c r="E24" s="100">
        <f>SUM(E17:E23)</f>
        <v>0</v>
      </c>
      <c r="F24" s="100">
        <f>SUM(F17:F23)</f>
        <v>0</v>
      </c>
      <c r="G24" s="42"/>
      <c r="H24" s="40"/>
      <c r="I24" s="100">
        <f>SUM(I17:I23)</f>
        <v>1364.73</v>
      </c>
      <c r="J24" s="40"/>
    </row>
    <row r="25" spans="1:10" ht="12" thickBot="1" x14ac:dyDescent="0.25">
      <c r="A25" s="191" t="s">
        <v>102</v>
      </c>
      <c r="B25" s="192"/>
      <c r="C25" s="192"/>
      <c r="D25" s="192"/>
      <c r="E25" s="192"/>
      <c r="F25" s="192"/>
      <c r="G25" s="192"/>
      <c r="H25" s="192"/>
      <c r="I25" s="192"/>
      <c r="J25" s="193"/>
    </row>
    <row r="26" spans="1:10" x14ac:dyDescent="0.2">
      <c r="A26" s="344" t="s">
        <v>94</v>
      </c>
      <c r="B26" s="344" t="s">
        <v>95</v>
      </c>
      <c r="C26" s="345" t="s">
        <v>96</v>
      </c>
      <c r="D26" s="345"/>
      <c r="E26" s="329" t="s">
        <v>97</v>
      </c>
      <c r="F26" s="329" t="s">
        <v>197</v>
      </c>
      <c r="G26" s="344" t="s">
        <v>98</v>
      </c>
      <c r="H26" s="346" t="s">
        <v>198</v>
      </c>
      <c r="I26" s="329" t="s">
        <v>99</v>
      </c>
      <c r="J26" s="344" t="s">
        <v>100</v>
      </c>
    </row>
    <row r="27" spans="1:10" x14ac:dyDescent="0.2">
      <c r="A27" s="341"/>
      <c r="B27" s="341"/>
      <c r="C27" s="38" t="s">
        <v>129</v>
      </c>
      <c r="D27" s="38" t="s">
        <v>101</v>
      </c>
      <c r="E27" s="322"/>
      <c r="F27" s="322"/>
      <c r="G27" s="341"/>
      <c r="H27" s="343"/>
      <c r="I27" s="322"/>
      <c r="J27" s="341"/>
    </row>
    <row r="28" spans="1:10" x14ac:dyDescent="0.2">
      <c r="A28" s="134" t="s">
        <v>205</v>
      </c>
      <c r="B28" s="135"/>
      <c r="C28" s="136"/>
      <c r="D28" s="137"/>
      <c r="E28" s="138">
        <f>'Page 6'!H46</f>
        <v>200000</v>
      </c>
      <c r="F28" s="138">
        <f>'Page 6'!I46</f>
        <v>0</v>
      </c>
      <c r="G28" s="131"/>
      <c r="H28" s="136"/>
      <c r="I28" s="138">
        <f>'Page 6'!N46</f>
        <v>8</v>
      </c>
      <c r="J28" s="139"/>
    </row>
    <row r="29" spans="1:10" x14ac:dyDescent="0.2">
      <c r="A29" s="134"/>
      <c r="B29" s="135"/>
      <c r="C29" s="136"/>
      <c r="D29" s="137"/>
      <c r="E29" s="138"/>
      <c r="F29" s="138"/>
      <c r="G29" s="131"/>
      <c r="H29" s="136"/>
      <c r="I29" s="138"/>
      <c r="J29" s="139"/>
    </row>
    <row r="30" spans="1:10" x14ac:dyDescent="0.2">
      <c r="A30" s="134"/>
      <c r="B30" s="135"/>
      <c r="C30" s="136"/>
      <c r="D30" s="137"/>
      <c r="E30" s="138"/>
      <c r="F30" s="137"/>
      <c r="G30" s="131"/>
      <c r="H30" s="136"/>
      <c r="I30" s="138"/>
      <c r="J30" s="139"/>
    </row>
    <row r="31" spans="1:10" x14ac:dyDescent="0.2">
      <c r="A31" s="134"/>
      <c r="B31" s="135"/>
      <c r="C31" s="136"/>
      <c r="D31" s="137"/>
      <c r="E31" s="138"/>
      <c r="F31" s="137"/>
      <c r="G31" s="131"/>
      <c r="H31" s="136"/>
      <c r="I31" s="138"/>
      <c r="J31" s="139"/>
    </row>
    <row r="32" spans="1:10" x14ac:dyDescent="0.2">
      <c r="A32" s="134"/>
      <c r="B32" s="135"/>
      <c r="C32" s="136"/>
      <c r="D32" s="137"/>
      <c r="E32" s="138"/>
      <c r="F32" s="137"/>
      <c r="G32" s="131"/>
      <c r="H32" s="136"/>
      <c r="I32" s="138"/>
      <c r="J32" s="139"/>
    </row>
    <row r="33" spans="1:10" x14ac:dyDescent="0.2">
      <c r="A33" s="134"/>
      <c r="B33" s="135"/>
      <c r="C33" s="136"/>
      <c r="D33" s="137"/>
      <c r="E33" s="138"/>
      <c r="F33" s="137"/>
      <c r="G33" s="131"/>
      <c r="H33" s="136"/>
      <c r="I33" s="138"/>
      <c r="J33" s="139"/>
    </row>
    <row r="34" spans="1:10" x14ac:dyDescent="0.2">
      <c r="A34" s="134"/>
      <c r="B34" s="135"/>
      <c r="C34" s="136"/>
      <c r="D34" s="137"/>
      <c r="E34" s="138"/>
      <c r="F34" s="137"/>
      <c r="G34" s="131"/>
      <c r="H34" s="136"/>
      <c r="I34" s="138"/>
      <c r="J34" s="139"/>
    </row>
    <row r="35" spans="1:10" x14ac:dyDescent="0.2">
      <c r="A35" s="134"/>
      <c r="B35" s="135"/>
      <c r="C35" s="136"/>
      <c r="D35" s="137"/>
      <c r="E35" s="138"/>
      <c r="F35" s="137"/>
      <c r="G35" s="131"/>
      <c r="H35" s="136"/>
      <c r="I35" s="138"/>
      <c r="J35" s="139"/>
    </row>
    <row r="36" spans="1:10" ht="12" thickBot="1" x14ac:dyDescent="0.25">
      <c r="A36" s="356" t="s">
        <v>103</v>
      </c>
      <c r="B36" s="357"/>
      <c r="C36" s="357"/>
      <c r="D36" s="357"/>
      <c r="E36" s="357"/>
      <c r="F36" s="357"/>
      <c r="G36" s="358"/>
    </row>
    <row r="37" spans="1:10" ht="12" thickBot="1" x14ac:dyDescent="0.25">
      <c r="A37" s="191" t="s">
        <v>104</v>
      </c>
      <c r="B37" s="192"/>
      <c r="C37" s="192"/>
      <c r="D37" s="192"/>
      <c r="E37" s="192"/>
      <c r="F37" s="192"/>
      <c r="G37" s="192"/>
      <c r="H37" s="192"/>
      <c r="I37" s="192"/>
      <c r="J37" s="193"/>
    </row>
    <row r="38" spans="1:10" x14ac:dyDescent="0.2">
      <c r="A38" s="328" t="s">
        <v>105</v>
      </c>
      <c r="B38" s="325" t="s">
        <v>106</v>
      </c>
      <c r="C38" s="326"/>
      <c r="D38" s="328" t="s">
        <v>74</v>
      </c>
      <c r="E38" s="328" t="s">
        <v>107</v>
      </c>
      <c r="F38" s="349" t="s">
        <v>75</v>
      </c>
      <c r="G38" s="350"/>
      <c r="H38" s="325" t="s">
        <v>200</v>
      </c>
      <c r="I38" s="326"/>
      <c r="J38" s="328" t="s">
        <v>199</v>
      </c>
    </row>
    <row r="39" spans="1:10" x14ac:dyDescent="0.2">
      <c r="A39" s="329"/>
      <c r="B39" s="347"/>
      <c r="C39" s="348"/>
      <c r="D39" s="329" t="s">
        <v>74</v>
      </c>
      <c r="E39" s="329"/>
      <c r="F39" s="347"/>
      <c r="G39" s="348"/>
      <c r="H39" s="347"/>
      <c r="I39" s="348"/>
      <c r="J39" s="329"/>
    </row>
    <row r="40" spans="1:10" x14ac:dyDescent="0.2">
      <c r="A40" s="125"/>
      <c r="B40" s="332"/>
      <c r="C40" s="333"/>
      <c r="D40" s="140"/>
      <c r="E40" s="141"/>
      <c r="F40" s="351"/>
      <c r="G40" s="352"/>
      <c r="H40" s="351"/>
      <c r="I40" s="352"/>
      <c r="J40" s="126"/>
    </row>
    <row r="41" spans="1:10" x14ac:dyDescent="0.2">
      <c r="A41" s="125"/>
      <c r="B41" s="332"/>
      <c r="C41" s="333"/>
      <c r="D41" s="140"/>
      <c r="E41" s="141"/>
      <c r="F41" s="351"/>
      <c r="G41" s="352"/>
      <c r="H41" s="351"/>
      <c r="I41" s="352"/>
      <c r="J41" s="126"/>
    </row>
    <row r="42" spans="1:10" x14ac:dyDescent="0.2">
      <c r="A42" s="125"/>
      <c r="B42" s="332"/>
      <c r="C42" s="333"/>
      <c r="D42" s="140"/>
      <c r="E42" s="141"/>
      <c r="F42" s="351"/>
      <c r="G42" s="352"/>
      <c r="H42" s="351"/>
      <c r="I42" s="352"/>
      <c r="J42" s="126"/>
    </row>
    <row r="43" spans="1:10" x14ac:dyDescent="0.2">
      <c r="A43" s="125"/>
      <c r="B43" s="332"/>
      <c r="C43" s="333"/>
      <c r="D43" s="140"/>
      <c r="E43" s="141"/>
      <c r="F43" s="351"/>
      <c r="G43" s="352"/>
      <c r="H43" s="351"/>
      <c r="I43" s="352"/>
      <c r="J43" s="126"/>
    </row>
    <row r="44" spans="1:10" x14ac:dyDescent="0.2">
      <c r="A44" s="125"/>
      <c r="B44" s="332"/>
      <c r="C44" s="333"/>
      <c r="D44" s="140"/>
      <c r="E44" s="141"/>
      <c r="F44" s="361"/>
      <c r="G44" s="362"/>
      <c r="H44" s="351"/>
      <c r="I44" s="352"/>
      <c r="J44" s="126"/>
    </row>
    <row r="45" spans="1:10" x14ac:dyDescent="0.2">
      <c r="A45" s="125"/>
      <c r="B45" s="332"/>
      <c r="C45" s="333"/>
      <c r="D45" s="140"/>
      <c r="E45" s="141"/>
      <c r="F45" s="351"/>
      <c r="G45" s="352"/>
      <c r="H45" s="351"/>
      <c r="I45" s="352"/>
      <c r="J45" s="126"/>
    </row>
    <row r="46" spans="1:10" x14ac:dyDescent="0.2">
      <c r="A46" s="125"/>
      <c r="B46" s="332"/>
      <c r="C46" s="333"/>
      <c r="D46" s="140"/>
      <c r="E46" s="141"/>
      <c r="F46" s="351"/>
      <c r="G46" s="352"/>
      <c r="H46" s="351"/>
      <c r="I46" s="352"/>
      <c r="J46" s="126"/>
    </row>
    <row r="47" spans="1:10" x14ac:dyDescent="0.2">
      <c r="A47" s="125"/>
      <c r="B47" s="332"/>
      <c r="C47" s="333"/>
      <c r="D47" s="140"/>
      <c r="E47" s="141"/>
      <c r="F47" s="351"/>
      <c r="G47" s="352"/>
      <c r="H47" s="351"/>
      <c r="I47" s="352"/>
      <c r="J47" s="126"/>
    </row>
    <row r="48" spans="1:10" x14ac:dyDescent="0.2">
      <c r="A48" s="125"/>
      <c r="B48" s="332"/>
      <c r="C48" s="333"/>
      <c r="D48" s="140"/>
      <c r="E48" s="141"/>
      <c r="F48" s="351"/>
      <c r="G48" s="352"/>
      <c r="H48" s="351"/>
      <c r="I48" s="352"/>
      <c r="J48" s="126"/>
    </row>
    <row r="49" spans="1:10" x14ac:dyDescent="0.2">
      <c r="A49" s="125"/>
      <c r="B49" s="332"/>
      <c r="C49" s="333"/>
      <c r="D49" s="140"/>
      <c r="E49" s="142"/>
      <c r="F49" s="351"/>
      <c r="G49" s="352"/>
      <c r="H49" s="351"/>
      <c r="I49" s="352"/>
      <c r="J49" s="126"/>
    </row>
    <row r="50" spans="1:10" x14ac:dyDescent="0.2">
      <c r="A50" s="43"/>
      <c r="B50" s="359"/>
      <c r="C50" s="359"/>
      <c r="D50" s="44"/>
      <c r="E50" s="45"/>
      <c r="F50" s="355">
        <f>SUM(F40:G49)</f>
        <v>0</v>
      </c>
      <c r="G50" s="355"/>
      <c r="H50" s="360">
        <f>SUM(H40:I49)</f>
        <v>0</v>
      </c>
      <c r="I50" s="360"/>
      <c r="J50" s="46"/>
    </row>
    <row r="51" spans="1:10" x14ac:dyDescent="0.2">
      <c r="A51" s="353" t="s">
        <v>108</v>
      </c>
      <c r="B51" s="353"/>
      <c r="C51" s="353"/>
      <c r="D51" s="353"/>
      <c r="E51" s="353"/>
      <c r="F51" s="353"/>
      <c r="G51" s="353"/>
      <c r="H51" s="353"/>
      <c r="I51" s="353"/>
      <c r="J51" s="353"/>
    </row>
    <row r="52" spans="1:10" x14ac:dyDescent="0.2">
      <c r="A52" s="354"/>
      <c r="B52" s="354"/>
      <c r="C52" s="354"/>
      <c r="D52" s="354"/>
      <c r="E52" s="354"/>
      <c r="F52" s="354"/>
      <c r="G52" s="354"/>
      <c r="H52" s="354"/>
      <c r="I52" s="354"/>
      <c r="J52" s="354"/>
    </row>
  </sheetData>
  <sheetProtection selectLockedCells="1"/>
  <mergeCells count="96">
    <mergeCell ref="A36:G36"/>
    <mergeCell ref="B49:C49"/>
    <mergeCell ref="H49:I49"/>
    <mergeCell ref="B50:C50"/>
    <mergeCell ref="H50:I50"/>
    <mergeCell ref="B43:C43"/>
    <mergeCell ref="H43:I43"/>
    <mergeCell ref="B44:C44"/>
    <mergeCell ref="H44:I44"/>
    <mergeCell ref="B45:C45"/>
    <mergeCell ref="H45:I45"/>
    <mergeCell ref="F43:G43"/>
    <mergeCell ref="F45:G45"/>
    <mergeCell ref="F44:G44"/>
    <mergeCell ref="B40:C40"/>
    <mergeCell ref="H40:I40"/>
    <mergeCell ref="A51:J52"/>
    <mergeCell ref="F49:G49"/>
    <mergeCell ref="F50:G50"/>
    <mergeCell ref="B46:C46"/>
    <mergeCell ref="H46:I46"/>
    <mergeCell ref="B47:C47"/>
    <mergeCell ref="H47:I47"/>
    <mergeCell ref="B48:C48"/>
    <mergeCell ref="H48:I48"/>
    <mergeCell ref="F46:G46"/>
    <mergeCell ref="F47:G47"/>
    <mergeCell ref="F48:G48"/>
    <mergeCell ref="B41:C41"/>
    <mergeCell ref="H41:I41"/>
    <mergeCell ref="B42:C42"/>
    <mergeCell ref="H42:I42"/>
    <mergeCell ref="F40:G40"/>
    <mergeCell ref="F41:G41"/>
    <mergeCell ref="F42:G42"/>
    <mergeCell ref="A37:J37"/>
    <mergeCell ref="A38:A39"/>
    <mergeCell ref="B38:C39"/>
    <mergeCell ref="D38:D39"/>
    <mergeCell ref="E38:E39"/>
    <mergeCell ref="F38:G39"/>
    <mergeCell ref="H38:I39"/>
    <mergeCell ref="J38:J39"/>
    <mergeCell ref="A25:J25"/>
    <mergeCell ref="A26:A27"/>
    <mergeCell ref="B26:B27"/>
    <mergeCell ref="C26:D26"/>
    <mergeCell ref="E26:E27"/>
    <mergeCell ref="F26:F27"/>
    <mergeCell ref="G26:G27"/>
    <mergeCell ref="H26:H27"/>
    <mergeCell ref="I26:I27"/>
    <mergeCell ref="J26:J27"/>
    <mergeCell ref="A13:J13"/>
    <mergeCell ref="A14:J14"/>
    <mergeCell ref="A15:A16"/>
    <mergeCell ref="B15:B16"/>
    <mergeCell ref="C15:D15"/>
    <mergeCell ref="E15:E16"/>
    <mergeCell ref="F15:F16"/>
    <mergeCell ref="G15:G16"/>
    <mergeCell ref="H15:H16"/>
    <mergeCell ref="I15:I16"/>
    <mergeCell ref="J15:J16"/>
    <mergeCell ref="A10:E10"/>
    <mergeCell ref="F10:H10"/>
    <mergeCell ref="I10:J10"/>
    <mergeCell ref="A11:E11"/>
    <mergeCell ref="F11:H11"/>
    <mergeCell ref="I11:J11"/>
    <mergeCell ref="I9:J9"/>
    <mergeCell ref="B6:C6"/>
    <mergeCell ref="E6:F6"/>
    <mergeCell ref="G6:H6"/>
    <mergeCell ref="B7:C7"/>
    <mergeCell ref="E7:F7"/>
    <mergeCell ref="G7:H7"/>
    <mergeCell ref="B8:C8"/>
    <mergeCell ref="E8:F8"/>
    <mergeCell ref="G8:H8"/>
    <mergeCell ref="A9:E9"/>
    <mergeCell ref="F9:H9"/>
    <mergeCell ref="B4:C4"/>
    <mergeCell ref="E4:F4"/>
    <mergeCell ref="G4:H4"/>
    <mergeCell ref="B5:C5"/>
    <mergeCell ref="E5:F5"/>
    <mergeCell ref="G5:H5"/>
    <mergeCell ref="A1:J1"/>
    <mergeCell ref="A2:A3"/>
    <mergeCell ref="B2:C3"/>
    <mergeCell ref="D2:D3"/>
    <mergeCell ref="E2:F3"/>
    <mergeCell ref="G2:H3"/>
    <mergeCell ref="I2:I3"/>
    <mergeCell ref="J2:J3"/>
  </mergeCells>
  <pageMargins left="0.13541666666666666" right="4.1666666666666664E-2"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2"/>
  <sheetViews>
    <sheetView view="pageLayout" topLeftCell="A4" zoomScaleNormal="100" workbookViewId="0">
      <selection activeCell="A51" sqref="A51:D51"/>
    </sheetView>
  </sheetViews>
  <sheetFormatPr defaultColWidth="20" defaultRowHeight="11.25" x14ac:dyDescent="0.2"/>
  <cols>
    <col min="1" max="2" width="20" style="11"/>
    <col min="3" max="3" width="7.140625" style="11" bestFit="1" customWidth="1"/>
    <col min="4" max="4" width="3.85546875" style="11" bestFit="1" customWidth="1"/>
    <col min="5" max="5" width="3.28515625" style="11" bestFit="1" customWidth="1"/>
    <col min="6" max="6" width="20" style="11"/>
    <col min="7" max="7" width="6.7109375" style="11" customWidth="1"/>
    <col min="8" max="8" width="7.5703125" style="11" bestFit="1" customWidth="1"/>
    <col min="9" max="10" width="4.7109375" style="11" customWidth="1"/>
    <col min="11" max="16384" width="20" style="11"/>
  </cols>
  <sheetData>
    <row r="1" spans="1:10" ht="12" thickBot="1" x14ac:dyDescent="0.25">
      <c r="A1" s="242" t="s">
        <v>109</v>
      </c>
      <c r="B1" s="243"/>
      <c r="C1" s="243"/>
      <c r="D1" s="243"/>
      <c r="E1" s="243"/>
      <c r="F1" s="243"/>
      <c r="G1" s="243"/>
      <c r="H1" s="243"/>
      <c r="I1" s="243"/>
      <c r="J1" s="365"/>
    </row>
    <row r="2" spans="1:10" x14ac:dyDescent="0.2">
      <c r="A2" s="366" t="s">
        <v>110</v>
      </c>
      <c r="B2" s="366" t="s">
        <v>111</v>
      </c>
      <c r="C2" s="366" t="s">
        <v>112</v>
      </c>
      <c r="D2" s="287" t="s">
        <v>40</v>
      </c>
      <c r="E2" s="288"/>
      <c r="F2" s="366" t="s">
        <v>113</v>
      </c>
      <c r="G2" s="366" t="s">
        <v>114</v>
      </c>
      <c r="H2" s="366" t="s">
        <v>115</v>
      </c>
      <c r="I2" s="368" t="s">
        <v>116</v>
      </c>
      <c r="J2" s="369"/>
    </row>
    <row r="3" spans="1:10" x14ac:dyDescent="0.2">
      <c r="A3" s="367"/>
      <c r="B3" s="367"/>
      <c r="C3" s="367"/>
      <c r="D3" s="32" t="s">
        <v>60</v>
      </c>
      <c r="E3" s="32" t="s">
        <v>61</v>
      </c>
      <c r="F3" s="367"/>
      <c r="G3" s="367"/>
      <c r="H3" s="367"/>
      <c r="I3" s="368"/>
      <c r="J3" s="369"/>
    </row>
    <row r="4" spans="1:10" x14ac:dyDescent="0.2">
      <c r="A4" s="144"/>
      <c r="B4" s="145"/>
      <c r="C4" s="146"/>
      <c r="D4" s="145"/>
      <c r="E4" s="147"/>
      <c r="F4" s="145"/>
      <c r="G4" s="148"/>
      <c r="H4" s="145"/>
      <c r="I4" s="363"/>
      <c r="J4" s="364"/>
    </row>
    <row r="5" spans="1:10" x14ac:dyDescent="0.2">
      <c r="A5" s="144"/>
      <c r="B5" s="145"/>
      <c r="C5" s="146"/>
      <c r="D5" s="145"/>
      <c r="E5" s="145"/>
      <c r="F5" s="145"/>
      <c r="G5" s="148"/>
      <c r="H5" s="145"/>
      <c r="I5" s="363"/>
      <c r="J5" s="364"/>
    </row>
    <row r="6" spans="1:10" x14ac:dyDescent="0.2">
      <c r="A6" s="144"/>
      <c r="B6" s="145"/>
      <c r="C6" s="146"/>
      <c r="D6" s="147"/>
      <c r="E6" s="145"/>
      <c r="F6" s="145"/>
      <c r="G6" s="148"/>
      <c r="H6" s="145"/>
      <c r="I6" s="363"/>
      <c r="J6" s="364"/>
    </row>
    <row r="7" spans="1:10" x14ac:dyDescent="0.2">
      <c r="A7" s="144"/>
      <c r="B7" s="145"/>
      <c r="C7" s="146"/>
      <c r="D7" s="145"/>
      <c r="E7" s="145"/>
      <c r="F7" s="145"/>
      <c r="G7" s="148"/>
      <c r="H7" s="145"/>
      <c r="I7" s="363"/>
      <c r="J7" s="364"/>
    </row>
    <row r="8" spans="1:10" x14ac:dyDescent="0.2">
      <c r="A8" s="144"/>
      <c r="B8" s="145"/>
      <c r="C8" s="146"/>
      <c r="D8" s="145"/>
      <c r="E8" s="145"/>
      <c r="F8" s="147"/>
      <c r="G8" s="148"/>
      <c r="H8" s="145"/>
      <c r="I8" s="363"/>
      <c r="J8" s="364"/>
    </row>
    <row r="9" spans="1:10" x14ac:dyDescent="0.2">
      <c r="A9" s="144"/>
      <c r="B9" s="145"/>
      <c r="C9" s="146"/>
      <c r="D9" s="145"/>
      <c r="E9" s="145"/>
      <c r="F9" s="147"/>
      <c r="G9" s="148"/>
      <c r="H9" s="145"/>
      <c r="I9" s="363"/>
      <c r="J9" s="364"/>
    </row>
    <row r="10" spans="1:10" x14ac:dyDescent="0.2">
      <c r="A10" s="47"/>
      <c r="B10" s="48"/>
      <c r="C10" s="49"/>
      <c r="D10" s="48"/>
      <c r="E10" s="48"/>
      <c r="F10" s="50"/>
      <c r="G10" s="51"/>
      <c r="H10" s="48"/>
      <c r="I10" s="372">
        <f>SUM(I4:J9)</f>
        <v>0</v>
      </c>
      <c r="J10" s="372"/>
    </row>
    <row r="11" spans="1:10" ht="12" thickBot="1" x14ac:dyDescent="0.25">
      <c r="A11" s="35"/>
      <c r="B11" s="35"/>
      <c r="C11" s="35"/>
      <c r="D11" s="35"/>
      <c r="E11" s="35"/>
      <c r="F11" s="35"/>
      <c r="G11" s="35"/>
      <c r="H11" s="35"/>
      <c r="I11" s="52"/>
      <c r="J11" s="35"/>
    </row>
    <row r="12" spans="1:10" ht="12" thickBot="1" x14ac:dyDescent="0.25">
      <c r="A12" s="242" t="s">
        <v>117</v>
      </c>
      <c r="B12" s="243"/>
      <c r="C12" s="243"/>
      <c r="D12" s="243"/>
      <c r="E12" s="243"/>
      <c r="F12" s="243"/>
      <c r="G12" s="243"/>
      <c r="H12" s="243"/>
      <c r="I12" s="243"/>
      <c r="J12" s="365"/>
    </row>
    <row r="13" spans="1:10" x14ac:dyDescent="0.2">
      <c r="A13" s="24"/>
      <c r="B13" s="25"/>
      <c r="C13" s="25"/>
      <c r="D13" s="25"/>
      <c r="E13" s="25"/>
      <c r="F13" s="25"/>
      <c r="G13" s="25" t="s">
        <v>60</v>
      </c>
      <c r="H13" s="25" t="s">
        <v>61</v>
      </c>
      <c r="I13" s="59"/>
      <c r="J13" s="60"/>
    </row>
    <row r="14" spans="1:10" x14ac:dyDescent="0.2">
      <c r="A14" s="53" t="s">
        <v>181</v>
      </c>
      <c r="B14" s="21"/>
      <c r="C14" s="21"/>
      <c r="D14" s="21"/>
      <c r="E14" s="21"/>
      <c r="F14" s="21"/>
      <c r="G14" s="143"/>
      <c r="H14" s="119"/>
      <c r="I14" s="27"/>
      <c r="J14" s="61"/>
    </row>
    <row r="15" spans="1:10" x14ac:dyDescent="0.2">
      <c r="A15" s="53" t="s">
        <v>118</v>
      </c>
      <c r="B15" s="21"/>
      <c r="C15" s="21"/>
      <c r="D15" s="21"/>
      <c r="E15" s="21"/>
      <c r="F15" s="21"/>
      <c r="G15" s="143"/>
      <c r="H15" s="119"/>
      <c r="I15" s="27"/>
      <c r="J15" s="61"/>
    </row>
    <row r="16" spans="1:10" x14ac:dyDescent="0.2">
      <c r="A16" s="53" t="s">
        <v>119</v>
      </c>
      <c r="B16" s="21"/>
      <c r="C16" s="21"/>
      <c r="D16" s="21"/>
      <c r="E16" s="21"/>
      <c r="F16" s="21"/>
      <c r="G16" s="143"/>
      <c r="H16" s="119"/>
      <c r="I16" s="27"/>
      <c r="J16" s="61"/>
    </row>
    <row r="17" spans="1:10" x14ac:dyDescent="0.2">
      <c r="A17" s="53" t="s">
        <v>120</v>
      </c>
      <c r="B17" s="21"/>
      <c r="C17" s="21"/>
      <c r="D17" s="21"/>
      <c r="E17" s="21"/>
      <c r="F17" s="21"/>
      <c r="G17" s="143"/>
      <c r="H17" s="119"/>
      <c r="I17" s="27"/>
      <c r="J17" s="61"/>
    </row>
    <row r="18" spans="1:10" x14ac:dyDescent="0.2">
      <c r="A18" s="53" t="s">
        <v>121</v>
      </c>
      <c r="B18" s="21"/>
      <c r="C18" s="21"/>
      <c r="D18" s="21"/>
      <c r="E18" s="21"/>
      <c r="F18" s="21"/>
      <c r="G18" s="143"/>
      <c r="H18" s="119"/>
      <c r="I18" s="27"/>
      <c r="J18" s="61"/>
    </row>
    <row r="19" spans="1:10" x14ac:dyDescent="0.2">
      <c r="A19" s="53" t="s">
        <v>122</v>
      </c>
      <c r="B19" s="21"/>
      <c r="C19" s="21"/>
      <c r="D19" s="21"/>
      <c r="E19" s="21"/>
      <c r="F19" s="21"/>
      <c r="G19" s="143"/>
      <c r="H19" s="119"/>
      <c r="I19" s="27"/>
      <c r="J19" s="61"/>
    </row>
    <row r="20" spans="1:10" x14ac:dyDescent="0.2">
      <c r="A20" s="53" t="s">
        <v>123</v>
      </c>
      <c r="B20" s="21"/>
      <c r="C20" s="21"/>
      <c r="D20" s="21"/>
      <c r="E20" s="21"/>
      <c r="F20" s="21"/>
      <c r="G20" s="143"/>
      <c r="H20" s="119"/>
      <c r="I20" s="27"/>
      <c r="J20" s="61"/>
    </row>
    <row r="21" spans="1:10" x14ac:dyDescent="0.2">
      <c r="A21" s="53" t="s">
        <v>124</v>
      </c>
      <c r="B21" s="21"/>
      <c r="C21" s="21"/>
      <c r="D21" s="21"/>
      <c r="E21" s="21"/>
      <c r="F21" s="21"/>
      <c r="G21" s="143"/>
      <c r="H21" s="119"/>
      <c r="I21" s="27"/>
      <c r="J21" s="61"/>
    </row>
    <row r="22" spans="1:10" x14ac:dyDescent="0.2">
      <c r="A22" s="53" t="s">
        <v>125</v>
      </c>
      <c r="B22" s="21"/>
      <c r="C22" s="21"/>
      <c r="D22" s="21"/>
      <c r="E22" s="21"/>
      <c r="F22" s="21"/>
      <c r="G22" s="143"/>
      <c r="H22" s="119"/>
      <c r="I22" s="27"/>
      <c r="J22" s="61"/>
    </row>
    <row r="23" spans="1:10" x14ac:dyDescent="0.2">
      <c r="A23" s="53" t="s">
        <v>126</v>
      </c>
      <c r="B23" s="21"/>
      <c r="C23" s="21"/>
      <c r="D23" s="21"/>
      <c r="E23" s="21"/>
      <c r="F23" s="21"/>
      <c r="G23" s="143"/>
      <c r="H23" s="119"/>
      <c r="I23" s="27"/>
      <c r="J23" s="61"/>
    </row>
    <row r="24" spans="1:10" x14ac:dyDescent="0.2">
      <c r="A24" s="54"/>
      <c r="B24" s="55"/>
      <c r="C24" s="55"/>
      <c r="D24" s="55"/>
      <c r="E24" s="55"/>
      <c r="F24" s="55"/>
      <c r="G24" s="55"/>
      <c r="H24" s="55"/>
      <c r="I24" s="55"/>
      <c r="J24" s="56"/>
    </row>
    <row r="25" spans="1:10" ht="12" thickBot="1" x14ac:dyDescent="0.25">
      <c r="A25" s="57"/>
      <c r="B25" s="21"/>
      <c r="C25" s="21"/>
      <c r="D25" s="21"/>
      <c r="E25" s="21"/>
      <c r="F25" s="21"/>
      <c r="G25" s="21"/>
      <c r="H25" s="21"/>
      <c r="I25" s="21"/>
      <c r="J25" s="58"/>
    </row>
    <row r="26" spans="1:10" ht="12" thickBot="1" x14ac:dyDescent="0.25">
      <c r="A26" s="373" t="s">
        <v>127</v>
      </c>
      <c r="B26" s="374"/>
      <c r="C26" s="374"/>
      <c r="D26" s="374"/>
      <c r="E26" s="374"/>
      <c r="F26" s="374"/>
      <c r="G26" s="374"/>
      <c r="H26" s="374"/>
      <c r="I26" s="374"/>
      <c r="J26" s="375"/>
    </row>
    <row r="27" spans="1:10" x14ac:dyDescent="0.2">
      <c r="A27" s="35"/>
      <c r="B27" s="35"/>
      <c r="C27" s="35"/>
      <c r="D27" s="35"/>
      <c r="E27" s="35"/>
      <c r="F27" s="35"/>
      <c r="G27" s="35"/>
      <c r="H27" s="35"/>
      <c r="I27" s="35"/>
      <c r="J27" s="35"/>
    </row>
    <row r="28" spans="1:10" x14ac:dyDescent="0.2">
      <c r="A28" s="35"/>
      <c r="B28" s="35"/>
      <c r="C28" s="35"/>
      <c r="D28" s="35"/>
      <c r="E28" s="35"/>
      <c r="F28" s="35"/>
      <c r="G28" s="35"/>
      <c r="H28" s="35"/>
      <c r="I28" s="35"/>
      <c r="J28" s="35"/>
    </row>
    <row r="29" spans="1:10" x14ac:dyDescent="0.2">
      <c r="A29" s="35"/>
      <c r="B29" s="35"/>
      <c r="C29" s="35"/>
      <c r="D29" s="35"/>
      <c r="E29" s="35"/>
      <c r="F29" s="35"/>
      <c r="G29" s="35"/>
      <c r="H29" s="35"/>
      <c r="I29" s="35"/>
      <c r="J29" s="35"/>
    </row>
    <row r="30" spans="1:10" x14ac:dyDescent="0.2">
      <c r="A30" s="35"/>
      <c r="B30" s="35"/>
      <c r="C30" s="35"/>
      <c r="D30" s="35"/>
      <c r="E30" s="35"/>
      <c r="F30" s="35"/>
      <c r="G30" s="35"/>
      <c r="H30" s="35"/>
      <c r="I30" s="35"/>
      <c r="J30" s="35"/>
    </row>
    <row r="31" spans="1:10" x14ac:dyDescent="0.2">
      <c r="A31" s="35"/>
      <c r="B31" s="35"/>
      <c r="C31" s="35"/>
      <c r="D31" s="35"/>
      <c r="E31" s="35"/>
      <c r="F31" s="35"/>
      <c r="G31" s="35"/>
      <c r="H31" s="35"/>
      <c r="I31" s="35"/>
      <c r="J31" s="35"/>
    </row>
    <row r="32" spans="1:10" x14ac:dyDescent="0.2">
      <c r="A32" s="35"/>
      <c r="B32" s="35"/>
      <c r="C32" s="35"/>
      <c r="D32" s="35"/>
      <c r="E32" s="35"/>
      <c r="F32" s="35"/>
      <c r="G32" s="35"/>
      <c r="H32" s="35"/>
      <c r="I32" s="35"/>
      <c r="J32" s="35"/>
    </row>
    <row r="33" spans="1:10" x14ac:dyDescent="0.2">
      <c r="A33" s="35"/>
      <c r="B33" s="35"/>
      <c r="C33" s="35"/>
      <c r="D33" s="35"/>
      <c r="E33" s="35"/>
      <c r="F33" s="35"/>
      <c r="G33" s="35"/>
      <c r="H33" s="35"/>
      <c r="I33" s="35"/>
      <c r="J33" s="35"/>
    </row>
    <row r="34" spans="1:10" x14ac:dyDescent="0.2">
      <c r="A34" s="35"/>
      <c r="B34" s="35"/>
      <c r="C34" s="35"/>
      <c r="D34" s="35"/>
      <c r="E34" s="35"/>
      <c r="F34" s="35"/>
      <c r="G34" s="35"/>
      <c r="H34" s="35"/>
      <c r="I34" s="35"/>
      <c r="J34" s="35"/>
    </row>
    <row r="35" spans="1:10" x14ac:dyDescent="0.2">
      <c r="A35" s="35"/>
      <c r="B35" s="35"/>
      <c r="C35" s="35"/>
      <c r="D35" s="35"/>
      <c r="E35" s="35"/>
      <c r="F35" s="35"/>
      <c r="G35" s="35"/>
      <c r="H35" s="35"/>
      <c r="I35" s="35"/>
      <c r="J35" s="35"/>
    </row>
    <row r="36" spans="1:10" x14ac:dyDescent="0.2">
      <c r="A36" s="35"/>
      <c r="B36" s="35"/>
      <c r="C36" s="35"/>
      <c r="D36" s="35"/>
      <c r="E36" s="35"/>
      <c r="F36" s="35"/>
      <c r="G36" s="35"/>
      <c r="H36" s="35"/>
      <c r="I36" s="35"/>
      <c r="J36" s="35"/>
    </row>
    <row r="37" spans="1:10" x14ac:dyDescent="0.2">
      <c r="A37" s="35"/>
      <c r="B37" s="35"/>
      <c r="C37" s="35"/>
      <c r="D37" s="35"/>
      <c r="E37" s="35"/>
      <c r="F37" s="35"/>
      <c r="G37" s="35"/>
      <c r="H37" s="35"/>
      <c r="I37" s="35"/>
      <c r="J37" s="35"/>
    </row>
    <row r="38" spans="1:10" x14ac:dyDescent="0.2">
      <c r="A38" s="35"/>
      <c r="B38" s="35"/>
      <c r="C38" s="35"/>
      <c r="D38" s="35"/>
      <c r="E38" s="35"/>
      <c r="F38" s="35"/>
      <c r="G38" s="35"/>
      <c r="H38" s="35"/>
      <c r="I38" s="35"/>
      <c r="J38" s="35"/>
    </row>
    <row r="39" spans="1:10" x14ac:dyDescent="0.2">
      <c r="A39" s="35"/>
      <c r="B39" s="35"/>
      <c r="C39" s="35"/>
      <c r="D39" s="35"/>
      <c r="E39" s="35"/>
      <c r="F39" s="35"/>
      <c r="G39" s="35"/>
      <c r="H39" s="35"/>
      <c r="I39" s="35"/>
      <c r="J39" s="35"/>
    </row>
    <row r="40" spans="1:10" x14ac:dyDescent="0.2">
      <c r="A40" s="35"/>
      <c r="B40" s="35"/>
      <c r="C40" s="35"/>
      <c r="D40" s="35"/>
      <c r="E40" s="35"/>
      <c r="F40" s="35"/>
      <c r="G40" s="35"/>
      <c r="H40" s="35"/>
      <c r="I40" s="35"/>
      <c r="J40" s="35"/>
    </row>
    <row r="41" spans="1:10" x14ac:dyDescent="0.2">
      <c r="A41" s="35"/>
      <c r="B41" s="35"/>
      <c r="C41" s="35"/>
      <c r="D41" s="35"/>
      <c r="E41" s="35"/>
      <c r="F41" s="35"/>
      <c r="G41" s="35"/>
      <c r="H41" s="35"/>
      <c r="I41" s="35"/>
      <c r="J41" s="35"/>
    </row>
    <row r="42" spans="1:10" x14ac:dyDescent="0.2">
      <c r="A42" s="35"/>
      <c r="B42" s="35"/>
      <c r="C42" s="35"/>
      <c r="D42" s="35"/>
      <c r="E42" s="35"/>
      <c r="F42" s="35"/>
      <c r="G42" s="35"/>
      <c r="H42" s="35"/>
      <c r="I42" s="35"/>
      <c r="J42" s="35"/>
    </row>
    <row r="43" spans="1:10" x14ac:dyDescent="0.2">
      <c r="A43" s="35"/>
      <c r="B43" s="35"/>
      <c r="C43" s="35"/>
      <c r="D43" s="35"/>
      <c r="E43" s="35"/>
      <c r="F43" s="35"/>
      <c r="G43" s="35"/>
      <c r="H43" s="35"/>
      <c r="I43" s="35"/>
      <c r="J43" s="35"/>
    </row>
    <row r="44" spans="1:10" x14ac:dyDescent="0.2">
      <c r="A44" s="35"/>
      <c r="B44" s="35"/>
      <c r="C44" s="35"/>
      <c r="D44" s="35"/>
      <c r="E44" s="35"/>
      <c r="F44" s="35"/>
      <c r="G44" s="35"/>
      <c r="H44" s="35"/>
      <c r="I44" s="35"/>
      <c r="J44" s="35"/>
    </row>
    <row r="45" spans="1:10" x14ac:dyDescent="0.2">
      <c r="A45" s="35"/>
      <c r="B45" s="35"/>
      <c r="C45" s="35"/>
      <c r="D45" s="35"/>
      <c r="E45" s="35"/>
      <c r="F45" s="35"/>
      <c r="G45" s="35"/>
      <c r="H45" s="35"/>
      <c r="I45" s="35"/>
      <c r="J45" s="35"/>
    </row>
    <row r="46" spans="1:10" x14ac:dyDescent="0.2">
      <c r="A46" s="35"/>
      <c r="B46" s="35"/>
      <c r="C46" s="35"/>
      <c r="D46" s="35"/>
      <c r="E46" s="35"/>
      <c r="F46" s="35"/>
      <c r="G46" s="35"/>
      <c r="H46" s="35"/>
      <c r="I46" s="35"/>
      <c r="J46" s="35"/>
    </row>
    <row r="47" spans="1:10" x14ac:dyDescent="0.2">
      <c r="A47" s="21"/>
      <c r="B47" s="21"/>
      <c r="C47" s="21"/>
      <c r="D47" s="21"/>
      <c r="E47" s="21"/>
      <c r="F47" s="21"/>
      <c r="G47" s="21"/>
      <c r="H47" s="21"/>
      <c r="I47" s="21"/>
      <c r="J47" s="21"/>
    </row>
    <row r="48" spans="1:10" x14ac:dyDescent="0.2">
      <c r="A48" s="143" t="s">
        <v>128</v>
      </c>
      <c r="B48" s="370">
        <f>'Page 1'!C13</f>
        <v>0</v>
      </c>
      <c r="C48" s="370"/>
      <c r="D48" s="370"/>
      <c r="E48" s="21"/>
      <c r="F48" s="371"/>
      <c r="G48" s="371"/>
      <c r="H48" s="371"/>
      <c r="I48" s="371"/>
      <c r="J48" s="371"/>
    </row>
    <row r="49" spans="1:10" x14ac:dyDescent="0.2">
      <c r="A49" s="35" t="s">
        <v>129</v>
      </c>
      <c r="B49" s="35" t="s">
        <v>5</v>
      </c>
      <c r="C49" s="35"/>
      <c r="D49" s="35"/>
      <c r="E49" s="35"/>
      <c r="F49" s="35" t="s">
        <v>130</v>
      </c>
      <c r="G49" s="21">
        <f>'Page 1'!A8</f>
        <v>0</v>
      </c>
      <c r="H49" s="21"/>
      <c r="I49" s="21"/>
      <c r="J49" s="21"/>
    </row>
    <row r="50" spans="1:10" x14ac:dyDescent="0.2">
      <c r="A50" s="21"/>
      <c r="B50" s="21"/>
      <c r="C50" s="21"/>
      <c r="D50" s="21"/>
      <c r="E50" s="21"/>
      <c r="F50" s="21"/>
      <c r="G50" s="21"/>
      <c r="H50" s="21"/>
      <c r="I50" s="21"/>
      <c r="J50" s="21"/>
    </row>
    <row r="51" spans="1:10" x14ac:dyDescent="0.2">
      <c r="A51" s="143" t="s">
        <v>128</v>
      </c>
      <c r="B51" s="370">
        <f>'Page 1'!I13</f>
        <v>0</v>
      </c>
      <c r="C51" s="370"/>
      <c r="D51" s="370"/>
      <c r="E51" s="21"/>
      <c r="F51" s="371"/>
      <c r="G51" s="371"/>
      <c r="H51" s="371"/>
      <c r="I51" s="371"/>
      <c r="J51" s="371"/>
    </row>
    <row r="52" spans="1:10" x14ac:dyDescent="0.2">
      <c r="A52" s="35" t="s">
        <v>129</v>
      </c>
      <c r="B52" s="35" t="s">
        <v>5</v>
      </c>
      <c r="C52" s="35"/>
      <c r="D52" s="35"/>
      <c r="E52" s="35"/>
      <c r="F52" s="35" t="s">
        <v>131</v>
      </c>
      <c r="G52" s="21">
        <f>'Page 1'!G8</f>
        <v>0</v>
      </c>
      <c r="H52" s="21"/>
      <c r="I52" s="21"/>
      <c r="J52" s="21"/>
    </row>
  </sheetData>
  <sheetProtection selectLockedCells="1"/>
  <mergeCells count="22">
    <mergeCell ref="B48:D48"/>
    <mergeCell ref="F48:J48"/>
    <mergeCell ref="F51:J51"/>
    <mergeCell ref="B51:D51"/>
    <mergeCell ref="I10:J10"/>
    <mergeCell ref="A12:J12"/>
    <mergeCell ref="A26:J26"/>
    <mergeCell ref="I9:J9"/>
    <mergeCell ref="A1:J1"/>
    <mergeCell ref="A2:A3"/>
    <mergeCell ref="B2:B3"/>
    <mergeCell ref="C2:C3"/>
    <mergeCell ref="D2:E2"/>
    <mergeCell ref="F2:F3"/>
    <mergeCell ref="G2:G3"/>
    <mergeCell ref="H2:H3"/>
    <mergeCell ref="I2:J3"/>
    <mergeCell ref="I4:J4"/>
    <mergeCell ref="I5:J5"/>
    <mergeCell ref="I6:J6"/>
    <mergeCell ref="I7:J7"/>
    <mergeCell ref="I8:J8"/>
  </mergeCells>
  <pageMargins left="0.25" right="0.25" top="0.75" bottom="0.75" header="0.3" footer="0.3"/>
  <pageSetup orientation="portrait" r:id="rId1"/>
  <colBreaks count="1" manualBreakCount="1">
    <brk id="10"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0"/>
  <sheetViews>
    <sheetView view="pageLayout" zoomScale="85" zoomScaleNormal="100" zoomScalePageLayoutView="85" workbookViewId="0">
      <selection activeCell="M43" sqref="M43"/>
    </sheetView>
  </sheetViews>
  <sheetFormatPr defaultRowHeight="11.25" x14ac:dyDescent="0.2"/>
  <cols>
    <col min="1" max="1" width="3.140625" style="11" customWidth="1"/>
    <col min="2" max="2" width="7.28515625" style="11" customWidth="1"/>
    <col min="3" max="3" width="3" style="11" customWidth="1"/>
    <col min="4" max="5" width="7.28515625" style="11" customWidth="1"/>
    <col min="6" max="6" width="8.28515625" style="11" customWidth="1"/>
    <col min="7" max="7" width="13.5703125" style="11" bestFit="1" customWidth="1"/>
    <col min="8" max="8" width="11" style="11" customWidth="1"/>
    <col min="9" max="9" width="10.85546875" style="96" customWidth="1"/>
    <col min="10" max="10" width="9.140625" style="11"/>
    <col min="11" max="11" width="14.7109375" style="11" customWidth="1"/>
    <col min="12" max="12" width="12" style="11" bestFit="1" customWidth="1"/>
    <col min="13" max="13" width="9.7109375" style="96" bestFit="1" customWidth="1"/>
    <col min="14" max="14" width="10.42578125" style="96" customWidth="1"/>
    <col min="15" max="15" width="3.85546875" style="97" bestFit="1" customWidth="1"/>
    <col min="16" max="16" width="9" style="97" customWidth="1"/>
    <col min="17" max="17" width="9.5703125" style="11" bestFit="1" customWidth="1"/>
    <col min="18" max="18" width="8.140625" style="11" bestFit="1" customWidth="1"/>
    <col min="19" max="19" width="10" style="11" customWidth="1"/>
    <col min="20" max="256" width="9.140625" style="11"/>
    <col min="257" max="257" width="3.140625" style="11" customWidth="1"/>
    <col min="258" max="258" width="11.85546875" style="11" customWidth="1"/>
    <col min="259" max="259" width="3" style="11" customWidth="1"/>
    <col min="260" max="260" width="5.42578125" style="11" customWidth="1"/>
    <col min="261" max="261" width="9.7109375" style="11" customWidth="1"/>
    <col min="262" max="262" width="8.28515625" style="11" customWidth="1"/>
    <col min="263" max="263" width="13.5703125" style="11" bestFit="1" customWidth="1"/>
    <col min="264" max="264" width="11" style="11" customWidth="1"/>
    <col min="265" max="265" width="10.85546875" style="11" customWidth="1"/>
    <col min="266" max="266" width="9.140625" style="11"/>
    <col min="267" max="267" width="14.7109375" style="11" customWidth="1"/>
    <col min="268" max="268" width="12" style="11" bestFit="1" customWidth="1"/>
    <col min="269" max="270" width="12" style="11" customWidth="1"/>
    <col min="271" max="271" width="3.85546875" style="11" bestFit="1" customWidth="1"/>
    <col min="272" max="272" width="11.42578125" style="11" customWidth="1"/>
    <col min="273" max="273" width="11.85546875" style="11" customWidth="1"/>
    <col min="274" max="274" width="10.5703125" style="11" customWidth="1"/>
    <col min="275" max="275" width="13.7109375" style="11" customWidth="1"/>
    <col min="276" max="512" width="9.140625" style="11"/>
    <col min="513" max="513" width="3.140625" style="11" customWidth="1"/>
    <col min="514" max="514" width="11.85546875" style="11" customWidth="1"/>
    <col min="515" max="515" width="3" style="11" customWidth="1"/>
    <col min="516" max="516" width="5.42578125" style="11" customWidth="1"/>
    <col min="517" max="517" width="9.7109375" style="11" customWidth="1"/>
    <col min="518" max="518" width="8.28515625" style="11" customWidth="1"/>
    <col min="519" max="519" width="13.5703125" style="11" bestFit="1" customWidth="1"/>
    <col min="520" max="520" width="11" style="11" customWidth="1"/>
    <col min="521" max="521" width="10.85546875" style="11" customWidth="1"/>
    <col min="522" max="522" width="9.140625" style="11"/>
    <col min="523" max="523" width="14.7109375" style="11" customWidth="1"/>
    <col min="524" max="524" width="12" style="11" bestFit="1" customWidth="1"/>
    <col min="525" max="526" width="12" style="11" customWidth="1"/>
    <col min="527" max="527" width="3.85546875" style="11" bestFit="1" customWidth="1"/>
    <col min="528" max="528" width="11.42578125" style="11" customWidth="1"/>
    <col min="529" max="529" width="11.85546875" style="11" customWidth="1"/>
    <col min="530" max="530" width="10.5703125" style="11" customWidth="1"/>
    <col min="531" max="531" width="13.7109375" style="11" customWidth="1"/>
    <col min="532" max="768" width="9.140625" style="11"/>
    <col min="769" max="769" width="3.140625" style="11" customWidth="1"/>
    <col min="770" max="770" width="11.85546875" style="11" customWidth="1"/>
    <col min="771" max="771" width="3" style="11" customWidth="1"/>
    <col min="772" max="772" width="5.42578125" style="11" customWidth="1"/>
    <col min="773" max="773" width="9.7109375" style="11" customWidth="1"/>
    <col min="774" max="774" width="8.28515625" style="11" customWidth="1"/>
    <col min="775" max="775" width="13.5703125" style="11" bestFit="1" customWidth="1"/>
    <col min="776" max="776" width="11" style="11" customWidth="1"/>
    <col min="777" max="777" width="10.85546875" style="11" customWidth="1"/>
    <col min="778" max="778" width="9.140625" style="11"/>
    <col min="779" max="779" width="14.7109375" style="11" customWidth="1"/>
    <col min="780" max="780" width="12" style="11" bestFit="1" customWidth="1"/>
    <col min="781" max="782" width="12" style="11" customWidth="1"/>
    <col min="783" max="783" width="3.85546875" style="11" bestFit="1" customWidth="1"/>
    <col min="784" max="784" width="11.42578125" style="11" customWidth="1"/>
    <col min="785" max="785" width="11.85546875" style="11" customWidth="1"/>
    <col min="786" max="786" width="10.5703125" style="11" customWidth="1"/>
    <col min="787" max="787" width="13.7109375" style="11" customWidth="1"/>
    <col min="788" max="1024" width="9.140625" style="11"/>
    <col min="1025" max="1025" width="3.140625" style="11" customWidth="1"/>
    <col min="1026" max="1026" width="11.85546875" style="11" customWidth="1"/>
    <col min="1027" max="1027" width="3" style="11" customWidth="1"/>
    <col min="1028" max="1028" width="5.42578125" style="11" customWidth="1"/>
    <col min="1029" max="1029" width="9.7109375" style="11" customWidth="1"/>
    <col min="1030" max="1030" width="8.28515625" style="11" customWidth="1"/>
    <col min="1031" max="1031" width="13.5703125" style="11" bestFit="1" customWidth="1"/>
    <col min="1032" max="1032" width="11" style="11" customWidth="1"/>
    <col min="1033" max="1033" width="10.85546875" style="11" customWidth="1"/>
    <col min="1034" max="1034" width="9.140625" style="11"/>
    <col min="1035" max="1035" width="14.7109375" style="11" customWidth="1"/>
    <col min="1036" max="1036" width="12" style="11" bestFit="1" customWidth="1"/>
    <col min="1037" max="1038" width="12" style="11" customWidth="1"/>
    <col min="1039" max="1039" width="3.85546875" style="11" bestFit="1" customWidth="1"/>
    <col min="1040" max="1040" width="11.42578125" style="11" customWidth="1"/>
    <col min="1041" max="1041" width="11.85546875" style="11" customWidth="1"/>
    <col min="1042" max="1042" width="10.5703125" style="11" customWidth="1"/>
    <col min="1043" max="1043" width="13.7109375" style="11" customWidth="1"/>
    <col min="1044" max="1280" width="9.140625" style="11"/>
    <col min="1281" max="1281" width="3.140625" style="11" customWidth="1"/>
    <col min="1282" max="1282" width="11.85546875" style="11" customWidth="1"/>
    <col min="1283" max="1283" width="3" style="11" customWidth="1"/>
    <col min="1284" max="1284" width="5.42578125" style="11" customWidth="1"/>
    <col min="1285" max="1285" width="9.7109375" style="11" customWidth="1"/>
    <col min="1286" max="1286" width="8.28515625" style="11" customWidth="1"/>
    <col min="1287" max="1287" width="13.5703125" style="11" bestFit="1" customWidth="1"/>
    <col min="1288" max="1288" width="11" style="11" customWidth="1"/>
    <col min="1289" max="1289" width="10.85546875" style="11" customWidth="1"/>
    <col min="1290" max="1290" width="9.140625" style="11"/>
    <col min="1291" max="1291" width="14.7109375" style="11" customWidth="1"/>
    <col min="1292" max="1292" width="12" style="11" bestFit="1" customWidth="1"/>
    <col min="1293" max="1294" width="12" style="11" customWidth="1"/>
    <col min="1295" max="1295" width="3.85546875" style="11" bestFit="1" customWidth="1"/>
    <col min="1296" max="1296" width="11.42578125" style="11" customWidth="1"/>
    <col min="1297" max="1297" width="11.85546875" style="11" customWidth="1"/>
    <col min="1298" max="1298" width="10.5703125" style="11" customWidth="1"/>
    <col min="1299" max="1299" width="13.7109375" style="11" customWidth="1"/>
    <col min="1300" max="1536" width="9.140625" style="11"/>
    <col min="1537" max="1537" width="3.140625" style="11" customWidth="1"/>
    <col min="1538" max="1538" width="11.85546875" style="11" customWidth="1"/>
    <col min="1539" max="1539" width="3" style="11" customWidth="1"/>
    <col min="1540" max="1540" width="5.42578125" style="11" customWidth="1"/>
    <col min="1541" max="1541" width="9.7109375" style="11" customWidth="1"/>
    <col min="1542" max="1542" width="8.28515625" style="11" customWidth="1"/>
    <col min="1543" max="1543" width="13.5703125" style="11" bestFit="1" customWidth="1"/>
    <col min="1544" max="1544" width="11" style="11" customWidth="1"/>
    <col min="1545" max="1545" width="10.85546875" style="11" customWidth="1"/>
    <col min="1546" max="1546" width="9.140625" style="11"/>
    <col min="1547" max="1547" width="14.7109375" style="11" customWidth="1"/>
    <col min="1548" max="1548" width="12" style="11" bestFit="1" customWidth="1"/>
    <col min="1549" max="1550" width="12" style="11" customWidth="1"/>
    <col min="1551" max="1551" width="3.85546875" style="11" bestFit="1" customWidth="1"/>
    <col min="1552" max="1552" width="11.42578125" style="11" customWidth="1"/>
    <col min="1553" max="1553" width="11.85546875" style="11" customWidth="1"/>
    <col min="1554" max="1554" width="10.5703125" style="11" customWidth="1"/>
    <col min="1555" max="1555" width="13.7109375" style="11" customWidth="1"/>
    <col min="1556" max="1792" width="9.140625" style="11"/>
    <col min="1793" max="1793" width="3.140625" style="11" customWidth="1"/>
    <col min="1794" max="1794" width="11.85546875" style="11" customWidth="1"/>
    <col min="1795" max="1795" width="3" style="11" customWidth="1"/>
    <col min="1796" max="1796" width="5.42578125" style="11" customWidth="1"/>
    <col min="1797" max="1797" width="9.7109375" style="11" customWidth="1"/>
    <col min="1798" max="1798" width="8.28515625" style="11" customWidth="1"/>
    <col min="1799" max="1799" width="13.5703125" style="11" bestFit="1" customWidth="1"/>
    <col min="1800" max="1800" width="11" style="11" customWidth="1"/>
    <col min="1801" max="1801" width="10.85546875" style="11" customWidth="1"/>
    <col min="1802" max="1802" width="9.140625" style="11"/>
    <col min="1803" max="1803" width="14.7109375" style="11" customWidth="1"/>
    <col min="1804" max="1804" width="12" style="11" bestFit="1" customWidth="1"/>
    <col min="1805" max="1806" width="12" style="11" customWidth="1"/>
    <col min="1807" max="1807" width="3.85546875" style="11" bestFit="1" customWidth="1"/>
    <col min="1808" max="1808" width="11.42578125" style="11" customWidth="1"/>
    <col min="1809" max="1809" width="11.85546875" style="11" customWidth="1"/>
    <col min="1810" max="1810" width="10.5703125" style="11" customWidth="1"/>
    <col min="1811" max="1811" width="13.7109375" style="11" customWidth="1"/>
    <col min="1812" max="2048" width="9.140625" style="11"/>
    <col min="2049" max="2049" width="3.140625" style="11" customWidth="1"/>
    <col min="2050" max="2050" width="11.85546875" style="11" customWidth="1"/>
    <col min="2051" max="2051" width="3" style="11" customWidth="1"/>
    <col min="2052" max="2052" width="5.42578125" style="11" customWidth="1"/>
    <col min="2053" max="2053" width="9.7109375" style="11" customWidth="1"/>
    <col min="2054" max="2054" width="8.28515625" style="11" customWidth="1"/>
    <col min="2055" max="2055" width="13.5703125" style="11" bestFit="1" customWidth="1"/>
    <col min="2056" max="2056" width="11" style="11" customWidth="1"/>
    <col min="2057" max="2057" width="10.85546875" style="11" customWidth="1"/>
    <col min="2058" max="2058" width="9.140625" style="11"/>
    <col min="2059" max="2059" width="14.7109375" style="11" customWidth="1"/>
    <col min="2060" max="2060" width="12" style="11" bestFit="1" customWidth="1"/>
    <col min="2061" max="2062" width="12" style="11" customWidth="1"/>
    <col min="2063" max="2063" width="3.85546875" style="11" bestFit="1" customWidth="1"/>
    <col min="2064" max="2064" width="11.42578125" style="11" customWidth="1"/>
    <col min="2065" max="2065" width="11.85546875" style="11" customWidth="1"/>
    <col min="2066" max="2066" width="10.5703125" style="11" customWidth="1"/>
    <col min="2067" max="2067" width="13.7109375" style="11" customWidth="1"/>
    <col min="2068" max="2304" width="9.140625" style="11"/>
    <col min="2305" max="2305" width="3.140625" style="11" customWidth="1"/>
    <col min="2306" max="2306" width="11.85546875" style="11" customWidth="1"/>
    <col min="2307" max="2307" width="3" style="11" customWidth="1"/>
    <col min="2308" max="2308" width="5.42578125" style="11" customWidth="1"/>
    <col min="2309" max="2309" width="9.7109375" style="11" customWidth="1"/>
    <col min="2310" max="2310" width="8.28515625" style="11" customWidth="1"/>
    <col min="2311" max="2311" width="13.5703125" style="11" bestFit="1" customWidth="1"/>
    <col min="2312" max="2312" width="11" style="11" customWidth="1"/>
    <col min="2313" max="2313" width="10.85546875" style="11" customWidth="1"/>
    <col min="2314" max="2314" width="9.140625" style="11"/>
    <col min="2315" max="2315" width="14.7109375" style="11" customWidth="1"/>
    <col min="2316" max="2316" width="12" style="11" bestFit="1" customWidth="1"/>
    <col min="2317" max="2318" width="12" style="11" customWidth="1"/>
    <col min="2319" max="2319" width="3.85546875" style="11" bestFit="1" customWidth="1"/>
    <col min="2320" max="2320" width="11.42578125" style="11" customWidth="1"/>
    <col min="2321" max="2321" width="11.85546875" style="11" customWidth="1"/>
    <col min="2322" max="2322" width="10.5703125" style="11" customWidth="1"/>
    <col min="2323" max="2323" width="13.7109375" style="11" customWidth="1"/>
    <col min="2324" max="2560" width="9.140625" style="11"/>
    <col min="2561" max="2561" width="3.140625" style="11" customWidth="1"/>
    <col min="2562" max="2562" width="11.85546875" style="11" customWidth="1"/>
    <col min="2563" max="2563" width="3" style="11" customWidth="1"/>
    <col min="2564" max="2564" width="5.42578125" style="11" customWidth="1"/>
    <col min="2565" max="2565" width="9.7109375" style="11" customWidth="1"/>
    <col min="2566" max="2566" width="8.28515625" style="11" customWidth="1"/>
    <col min="2567" max="2567" width="13.5703125" style="11" bestFit="1" customWidth="1"/>
    <col min="2568" max="2568" width="11" style="11" customWidth="1"/>
    <col min="2569" max="2569" width="10.85546875" style="11" customWidth="1"/>
    <col min="2570" max="2570" width="9.140625" style="11"/>
    <col min="2571" max="2571" width="14.7109375" style="11" customWidth="1"/>
    <col min="2572" max="2572" width="12" style="11" bestFit="1" customWidth="1"/>
    <col min="2573" max="2574" width="12" style="11" customWidth="1"/>
    <col min="2575" max="2575" width="3.85546875" style="11" bestFit="1" customWidth="1"/>
    <col min="2576" max="2576" width="11.42578125" style="11" customWidth="1"/>
    <col min="2577" max="2577" width="11.85546875" style="11" customWidth="1"/>
    <col min="2578" max="2578" width="10.5703125" style="11" customWidth="1"/>
    <col min="2579" max="2579" width="13.7109375" style="11" customWidth="1"/>
    <col min="2580" max="2816" width="9.140625" style="11"/>
    <col min="2817" max="2817" width="3.140625" style="11" customWidth="1"/>
    <col min="2818" max="2818" width="11.85546875" style="11" customWidth="1"/>
    <col min="2819" max="2819" width="3" style="11" customWidth="1"/>
    <col min="2820" max="2820" width="5.42578125" style="11" customWidth="1"/>
    <col min="2821" max="2821" width="9.7109375" style="11" customWidth="1"/>
    <col min="2822" max="2822" width="8.28515625" style="11" customWidth="1"/>
    <col min="2823" max="2823" width="13.5703125" style="11" bestFit="1" customWidth="1"/>
    <col min="2824" max="2824" width="11" style="11" customWidth="1"/>
    <col min="2825" max="2825" width="10.85546875" style="11" customWidth="1"/>
    <col min="2826" max="2826" width="9.140625" style="11"/>
    <col min="2827" max="2827" width="14.7109375" style="11" customWidth="1"/>
    <col min="2828" max="2828" width="12" style="11" bestFit="1" customWidth="1"/>
    <col min="2829" max="2830" width="12" style="11" customWidth="1"/>
    <col min="2831" max="2831" width="3.85546875" style="11" bestFit="1" customWidth="1"/>
    <col min="2832" max="2832" width="11.42578125" style="11" customWidth="1"/>
    <col min="2833" max="2833" width="11.85546875" style="11" customWidth="1"/>
    <col min="2834" max="2834" width="10.5703125" style="11" customWidth="1"/>
    <col min="2835" max="2835" width="13.7109375" style="11" customWidth="1"/>
    <col min="2836" max="3072" width="9.140625" style="11"/>
    <col min="3073" max="3073" width="3.140625" style="11" customWidth="1"/>
    <col min="3074" max="3074" width="11.85546875" style="11" customWidth="1"/>
    <col min="3075" max="3075" width="3" style="11" customWidth="1"/>
    <col min="3076" max="3076" width="5.42578125" style="11" customWidth="1"/>
    <col min="3077" max="3077" width="9.7109375" style="11" customWidth="1"/>
    <col min="3078" max="3078" width="8.28515625" style="11" customWidth="1"/>
    <col min="3079" max="3079" width="13.5703125" style="11" bestFit="1" customWidth="1"/>
    <col min="3080" max="3080" width="11" style="11" customWidth="1"/>
    <col min="3081" max="3081" width="10.85546875" style="11" customWidth="1"/>
    <col min="3082" max="3082" width="9.140625" style="11"/>
    <col min="3083" max="3083" width="14.7109375" style="11" customWidth="1"/>
    <col min="3084" max="3084" width="12" style="11" bestFit="1" customWidth="1"/>
    <col min="3085" max="3086" width="12" style="11" customWidth="1"/>
    <col min="3087" max="3087" width="3.85546875" style="11" bestFit="1" customWidth="1"/>
    <col min="3088" max="3088" width="11.42578125" style="11" customWidth="1"/>
    <col min="3089" max="3089" width="11.85546875" style="11" customWidth="1"/>
    <col min="3090" max="3090" width="10.5703125" style="11" customWidth="1"/>
    <col min="3091" max="3091" width="13.7109375" style="11" customWidth="1"/>
    <col min="3092" max="3328" width="9.140625" style="11"/>
    <col min="3329" max="3329" width="3.140625" style="11" customWidth="1"/>
    <col min="3330" max="3330" width="11.85546875" style="11" customWidth="1"/>
    <col min="3331" max="3331" width="3" style="11" customWidth="1"/>
    <col min="3332" max="3332" width="5.42578125" style="11" customWidth="1"/>
    <col min="3333" max="3333" width="9.7109375" style="11" customWidth="1"/>
    <col min="3334" max="3334" width="8.28515625" style="11" customWidth="1"/>
    <col min="3335" max="3335" width="13.5703125" style="11" bestFit="1" customWidth="1"/>
    <col min="3336" max="3336" width="11" style="11" customWidth="1"/>
    <col min="3337" max="3337" width="10.85546875" style="11" customWidth="1"/>
    <col min="3338" max="3338" width="9.140625" style="11"/>
    <col min="3339" max="3339" width="14.7109375" style="11" customWidth="1"/>
    <col min="3340" max="3340" width="12" style="11" bestFit="1" customWidth="1"/>
    <col min="3341" max="3342" width="12" style="11" customWidth="1"/>
    <col min="3343" max="3343" width="3.85546875" style="11" bestFit="1" customWidth="1"/>
    <col min="3344" max="3344" width="11.42578125" style="11" customWidth="1"/>
    <col min="3345" max="3345" width="11.85546875" style="11" customWidth="1"/>
    <col min="3346" max="3346" width="10.5703125" style="11" customWidth="1"/>
    <col min="3347" max="3347" width="13.7109375" style="11" customWidth="1"/>
    <col min="3348" max="3584" width="9.140625" style="11"/>
    <col min="3585" max="3585" width="3.140625" style="11" customWidth="1"/>
    <col min="3586" max="3586" width="11.85546875" style="11" customWidth="1"/>
    <col min="3587" max="3587" width="3" style="11" customWidth="1"/>
    <col min="3588" max="3588" width="5.42578125" style="11" customWidth="1"/>
    <col min="3589" max="3589" width="9.7109375" style="11" customWidth="1"/>
    <col min="3590" max="3590" width="8.28515625" style="11" customWidth="1"/>
    <col min="3591" max="3591" width="13.5703125" style="11" bestFit="1" customWidth="1"/>
    <col min="3592" max="3592" width="11" style="11" customWidth="1"/>
    <col min="3593" max="3593" width="10.85546875" style="11" customWidth="1"/>
    <col min="3594" max="3594" width="9.140625" style="11"/>
    <col min="3595" max="3595" width="14.7109375" style="11" customWidth="1"/>
    <col min="3596" max="3596" width="12" style="11" bestFit="1" customWidth="1"/>
    <col min="3597" max="3598" width="12" style="11" customWidth="1"/>
    <col min="3599" max="3599" width="3.85546875" style="11" bestFit="1" customWidth="1"/>
    <col min="3600" max="3600" width="11.42578125" style="11" customWidth="1"/>
    <col min="3601" max="3601" width="11.85546875" style="11" customWidth="1"/>
    <col min="3602" max="3602" width="10.5703125" style="11" customWidth="1"/>
    <col min="3603" max="3603" width="13.7109375" style="11" customWidth="1"/>
    <col min="3604" max="3840" width="9.140625" style="11"/>
    <col min="3841" max="3841" width="3.140625" style="11" customWidth="1"/>
    <col min="3842" max="3842" width="11.85546875" style="11" customWidth="1"/>
    <col min="3843" max="3843" width="3" style="11" customWidth="1"/>
    <col min="3844" max="3844" width="5.42578125" style="11" customWidth="1"/>
    <col min="3845" max="3845" width="9.7109375" style="11" customWidth="1"/>
    <col min="3846" max="3846" width="8.28515625" style="11" customWidth="1"/>
    <col min="3847" max="3847" width="13.5703125" style="11" bestFit="1" customWidth="1"/>
    <col min="3848" max="3848" width="11" style="11" customWidth="1"/>
    <col min="3849" max="3849" width="10.85546875" style="11" customWidth="1"/>
    <col min="3850" max="3850" width="9.140625" style="11"/>
    <col min="3851" max="3851" width="14.7109375" style="11" customWidth="1"/>
    <col min="3852" max="3852" width="12" style="11" bestFit="1" customWidth="1"/>
    <col min="3853" max="3854" width="12" style="11" customWidth="1"/>
    <col min="3855" max="3855" width="3.85546875" style="11" bestFit="1" customWidth="1"/>
    <col min="3856" max="3856" width="11.42578125" style="11" customWidth="1"/>
    <col min="3857" max="3857" width="11.85546875" style="11" customWidth="1"/>
    <col min="3858" max="3858" width="10.5703125" style="11" customWidth="1"/>
    <col min="3859" max="3859" width="13.7109375" style="11" customWidth="1"/>
    <col min="3860" max="4096" width="9.140625" style="11"/>
    <col min="4097" max="4097" width="3.140625" style="11" customWidth="1"/>
    <col min="4098" max="4098" width="11.85546875" style="11" customWidth="1"/>
    <col min="4099" max="4099" width="3" style="11" customWidth="1"/>
    <col min="4100" max="4100" width="5.42578125" style="11" customWidth="1"/>
    <col min="4101" max="4101" width="9.7109375" style="11" customWidth="1"/>
    <col min="4102" max="4102" width="8.28515625" style="11" customWidth="1"/>
    <col min="4103" max="4103" width="13.5703125" style="11" bestFit="1" customWidth="1"/>
    <col min="4104" max="4104" width="11" style="11" customWidth="1"/>
    <col min="4105" max="4105" width="10.85546875" style="11" customWidth="1"/>
    <col min="4106" max="4106" width="9.140625" style="11"/>
    <col min="4107" max="4107" width="14.7109375" style="11" customWidth="1"/>
    <col min="4108" max="4108" width="12" style="11" bestFit="1" customWidth="1"/>
    <col min="4109" max="4110" width="12" style="11" customWidth="1"/>
    <col min="4111" max="4111" width="3.85546875" style="11" bestFit="1" customWidth="1"/>
    <col min="4112" max="4112" width="11.42578125" style="11" customWidth="1"/>
    <col min="4113" max="4113" width="11.85546875" style="11" customWidth="1"/>
    <col min="4114" max="4114" width="10.5703125" style="11" customWidth="1"/>
    <col min="4115" max="4115" width="13.7109375" style="11" customWidth="1"/>
    <col min="4116" max="4352" width="9.140625" style="11"/>
    <col min="4353" max="4353" width="3.140625" style="11" customWidth="1"/>
    <col min="4354" max="4354" width="11.85546875" style="11" customWidth="1"/>
    <col min="4355" max="4355" width="3" style="11" customWidth="1"/>
    <col min="4356" max="4356" width="5.42578125" style="11" customWidth="1"/>
    <col min="4357" max="4357" width="9.7109375" style="11" customWidth="1"/>
    <col min="4358" max="4358" width="8.28515625" style="11" customWidth="1"/>
    <col min="4359" max="4359" width="13.5703125" style="11" bestFit="1" customWidth="1"/>
    <col min="4360" max="4360" width="11" style="11" customWidth="1"/>
    <col min="4361" max="4361" width="10.85546875" style="11" customWidth="1"/>
    <col min="4362" max="4362" width="9.140625" style="11"/>
    <col min="4363" max="4363" width="14.7109375" style="11" customWidth="1"/>
    <col min="4364" max="4364" width="12" style="11" bestFit="1" customWidth="1"/>
    <col min="4365" max="4366" width="12" style="11" customWidth="1"/>
    <col min="4367" max="4367" width="3.85546875" style="11" bestFit="1" customWidth="1"/>
    <col min="4368" max="4368" width="11.42578125" style="11" customWidth="1"/>
    <col min="4369" max="4369" width="11.85546875" style="11" customWidth="1"/>
    <col min="4370" max="4370" width="10.5703125" style="11" customWidth="1"/>
    <col min="4371" max="4371" width="13.7109375" style="11" customWidth="1"/>
    <col min="4372" max="4608" width="9.140625" style="11"/>
    <col min="4609" max="4609" width="3.140625" style="11" customWidth="1"/>
    <col min="4610" max="4610" width="11.85546875" style="11" customWidth="1"/>
    <col min="4611" max="4611" width="3" style="11" customWidth="1"/>
    <col min="4612" max="4612" width="5.42578125" style="11" customWidth="1"/>
    <col min="4613" max="4613" width="9.7109375" style="11" customWidth="1"/>
    <col min="4614" max="4614" width="8.28515625" style="11" customWidth="1"/>
    <col min="4615" max="4615" width="13.5703125" style="11" bestFit="1" customWidth="1"/>
    <col min="4616" max="4616" width="11" style="11" customWidth="1"/>
    <col min="4617" max="4617" width="10.85546875" style="11" customWidth="1"/>
    <col min="4618" max="4618" width="9.140625" style="11"/>
    <col min="4619" max="4619" width="14.7109375" style="11" customWidth="1"/>
    <col min="4620" max="4620" width="12" style="11" bestFit="1" customWidth="1"/>
    <col min="4621" max="4622" width="12" style="11" customWidth="1"/>
    <col min="4623" max="4623" width="3.85546875" style="11" bestFit="1" customWidth="1"/>
    <col min="4624" max="4624" width="11.42578125" style="11" customWidth="1"/>
    <col min="4625" max="4625" width="11.85546875" style="11" customWidth="1"/>
    <col min="4626" max="4626" width="10.5703125" style="11" customWidth="1"/>
    <col min="4627" max="4627" width="13.7109375" style="11" customWidth="1"/>
    <col min="4628" max="4864" width="9.140625" style="11"/>
    <col min="4865" max="4865" width="3.140625" style="11" customWidth="1"/>
    <col min="4866" max="4866" width="11.85546875" style="11" customWidth="1"/>
    <col min="4867" max="4867" width="3" style="11" customWidth="1"/>
    <col min="4868" max="4868" width="5.42578125" style="11" customWidth="1"/>
    <col min="4869" max="4869" width="9.7109375" style="11" customWidth="1"/>
    <col min="4870" max="4870" width="8.28515625" style="11" customWidth="1"/>
    <col min="4871" max="4871" width="13.5703125" style="11" bestFit="1" customWidth="1"/>
    <col min="4872" max="4872" width="11" style="11" customWidth="1"/>
    <col min="4873" max="4873" width="10.85546875" style="11" customWidth="1"/>
    <col min="4874" max="4874" width="9.140625" style="11"/>
    <col min="4875" max="4875" width="14.7109375" style="11" customWidth="1"/>
    <col min="4876" max="4876" width="12" style="11" bestFit="1" customWidth="1"/>
    <col min="4877" max="4878" width="12" style="11" customWidth="1"/>
    <col min="4879" max="4879" width="3.85546875" style="11" bestFit="1" customWidth="1"/>
    <col min="4880" max="4880" width="11.42578125" style="11" customWidth="1"/>
    <col min="4881" max="4881" width="11.85546875" style="11" customWidth="1"/>
    <col min="4882" max="4882" width="10.5703125" style="11" customWidth="1"/>
    <col min="4883" max="4883" width="13.7109375" style="11" customWidth="1"/>
    <col min="4884" max="5120" width="9.140625" style="11"/>
    <col min="5121" max="5121" width="3.140625" style="11" customWidth="1"/>
    <col min="5122" max="5122" width="11.85546875" style="11" customWidth="1"/>
    <col min="5123" max="5123" width="3" style="11" customWidth="1"/>
    <col min="5124" max="5124" width="5.42578125" style="11" customWidth="1"/>
    <col min="5125" max="5125" width="9.7109375" style="11" customWidth="1"/>
    <col min="5126" max="5126" width="8.28515625" style="11" customWidth="1"/>
    <col min="5127" max="5127" width="13.5703125" style="11" bestFit="1" customWidth="1"/>
    <col min="5128" max="5128" width="11" style="11" customWidth="1"/>
    <col min="5129" max="5129" width="10.85546875" style="11" customWidth="1"/>
    <col min="5130" max="5130" width="9.140625" style="11"/>
    <col min="5131" max="5131" width="14.7109375" style="11" customWidth="1"/>
    <col min="5132" max="5132" width="12" style="11" bestFit="1" customWidth="1"/>
    <col min="5133" max="5134" width="12" style="11" customWidth="1"/>
    <col min="5135" max="5135" width="3.85546875" style="11" bestFit="1" customWidth="1"/>
    <col min="5136" max="5136" width="11.42578125" style="11" customWidth="1"/>
    <col min="5137" max="5137" width="11.85546875" style="11" customWidth="1"/>
    <col min="5138" max="5138" width="10.5703125" style="11" customWidth="1"/>
    <col min="5139" max="5139" width="13.7109375" style="11" customWidth="1"/>
    <col min="5140" max="5376" width="9.140625" style="11"/>
    <col min="5377" max="5377" width="3.140625" style="11" customWidth="1"/>
    <col min="5378" max="5378" width="11.85546875" style="11" customWidth="1"/>
    <col min="5379" max="5379" width="3" style="11" customWidth="1"/>
    <col min="5380" max="5380" width="5.42578125" style="11" customWidth="1"/>
    <col min="5381" max="5381" width="9.7109375" style="11" customWidth="1"/>
    <col min="5382" max="5382" width="8.28515625" style="11" customWidth="1"/>
    <col min="5383" max="5383" width="13.5703125" style="11" bestFit="1" customWidth="1"/>
    <col min="5384" max="5384" width="11" style="11" customWidth="1"/>
    <col min="5385" max="5385" width="10.85546875" style="11" customWidth="1"/>
    <col min="5386" max="5386" width="9.140625" style="11"/>
    <col min="5387" max="5387" width="14.7109375" style="11" customWidth="1"/>
    <col min="5388" max="5388" width="12" style="11" bestFit="1" customWidth="1"/>
    <col min="5389" max="5390" width="12" style="11" customWidth="1"/>
    <col min="5391" max="5391" width="3.85546875" style="11" bestFit="1" customWidth="1"/>
    <col min="5392" max="5392" width="11.42578125" style="11" customWidth="1"/>
    <col min="5393" max="5393" width="11.85546875" style="11" customWidth="1"/>
    <col min="5394" max="5394" width="10.5703125" style="11" customWidth="1"/>
    <col min="5395" max="5395" width="13.7109375" style="11" customWidth="1"/>
    <col min="5396" max="5632" width="9.140625" style="11"/>
    <col min="5633" max="5633" width="3.140625" style="11" customWidth="1"/>
    <col min="5634" max="5634" width="11.85546875" style="11" customWidth="1"/>
    <col min="5635" max="5635" width="3" style="11" customWidth="1"/>
    <col min="5636" max="5636" width="5.42578125" style="11" customWidth="1"/>
    <col min="5637" max="5637" width="9.7109375" style="11" customWidth="1"/>
    <col min="5638" max="5638" width="8.28515625" style="11" customWidth="1"/>
    <col min="5639" max="5639" width="13.5703125" style="11" bestFit="1" customWidth="1"/>
    <col min="5640" max="5640" width="11" style="11" customWidth="1"/>
    <col min="5641" max="5641" width="10.85546875" style="11" customWidth="1"/>
    <col min="5642" max="5642" width="9.140625" style="11"/>
    <col min="5643" max="5643" width="14.7109375" style="11" customWidth="1"/>
    <col min="5644" max="5644" width="12" style="11" bestFit="1" customWidth="1"/>
    <col min="5645" max="5646" width="12" style="11" customWidth="1"/>
    <col min="5647" max="5647" width="3.85546875" style="11" bestFit="1" customWidth="1"/>
    <col min="5648" max="5648" width="11.42578125" style="11" customWidth="1"/>
    <col min="5649" max="5649" width="11.85546875" style="11" customWidth="1"/>
    <col min="5650" max="5650" width="10.5703125" style="11" customWidth="1"/>
    <col min="5651" max="5651" width="13.7109375" style="11" customWidth="1"/>
    <col min="5652" max="5888" width="9.140625" style="11"/>
    <col min="5889" max="5889" width="3.140625" style="11" customWidth="1"/>
    <col min="5890" max="5890" width="11.85546875" style="11" customWidth="1"/>
    <col min="5891" max="5891" width="3" style="11" customWidth="1"/>
    <col min="5892" max="5892" width="5.42578125" style="11" customWidth="1"/>
    <col min="5893" max="5893" width="9.7109375" style="11" customWidth="1"/>
    <col min="5894" max="5894" width="8.28515625" style="11" customWidth="1"/>
    <col min="5895" max="5895" width="13.5703125" style="11" bestFit="1" customWidth="1"/>
    <col min="5896" max="5896" width="11" style="11" customWidth="1"/>
    <col min="5897" max="5897" width="10.85546875" style="11" customWidth="1"/>
    <col min="5898" max="5898" width="9.140625" style="11"/>
    <col min="5899" max="5899" width="14.7109375" style="11" customWidth="1"/>
    <col min="5900" max="5900" width="12" style="11" bestFit="1" customWidth="1"/>
    <col min="5901" max="5902" width="12" style="11" customWidth="1"/>
    <col min="5903" max="5903" width="3.85546875" style="11" bestFit="1" customWidth="1"/>
    <col min="5904" max="5904" width="11.42578125" style="11" customWidth="1"/>
    <col min="5905" max="5905" width="11.85546875" style="11" customWidth="1"/>
    <col min="5906" max="5906" width="10.5703125" style="11" customWidth="1"/>
    <col min="5907" max="5907" width="13.7109375" style="11" customWidth="1"/>
    <col min="5908" max="6144" width="9.140625" style="11"/>
    <col min="6145" max="6145" width="3.140625" style="11" customWidth="1"/>
    <col min="6146" max="6146" width="11.85546875" style="11" customWidth="1"/>
    <col min="6147" max="6147" width="3" style="11" customWidth="1"/>
    <col min="6148" max="6148" width="5.42578125" style="11" customWidth="1"/>
    <col min="6149" max="6149" width="9.7109375" style="11" customWidth="1"/>
    <col min="6150" max="6150" width="8.28515625" style="11" customWidth="1"/>
    <col min="6151" max="6151" width="13.5703125" style="11" bestFit="1" customWidth="1"/>
    <col min="6152" max="6152" width="11" style="11" customWidth="1"/>
    <col min="6153" max="6153" width="10.85546875" style="11" customWidth="1"/>
    <col min="6154" max="6154" width="9.140625" style="11"/>
    <col min="6155" max="6155" width="14.7109375" style="11" customWidth="1"/>
    <col min="6156" max="6156" width="12" style="11" bestFit="1" customWidth="1"/>
    <col min="6157" max="6158" width="12" style="11" customWidth="1"/>
    <col min="6159" max="6159" width="3.85546875" style="11" bestFit="1" customWidth="1"/>
    <col min="6160" max="6160" width="11.42578125" style="11" customWidth="1"/>
    <col min="6161" max="6161" width="11.85546875" style="11" customWidth="1"/>
    <col min="6162" max="6162" width="10.5703125" style="11" customWidth="1"/>
    <col min="6163" max="6163" width="13.7109375" style="11" customWidth="1"/>
    <col min="6164" max="6400" width="9.140625" style="11"/>
    <col min="6401" max="6401" width="3.140625" style="11" customWidth="1"/>
    <col min="6402" max="6402" width="11.85546875" style="11" customWidth="1"/>
    <col min="6403" max="6403" width="3" style="11" customWidth="1"/>
    <col min="6404" max="6404" width="5.42578125" style="11" customWidth="1"/>
    <col min="6405" max="6405" width="9.7109375" style="11" customWidth="1"/>
    <col min="6406" max="6406" width="8.28515625" style="11" customWidth="1"/>
    <col min="6407" max="6407" width="13.5703125" style="11" bestFit="1" customWidth="1"/>
    <col min="6408" max="6408" width="11" style="11" customWidth="1"/>
    <col min="6409" max="6409" width="10.85546875" style="11" customWidth="1"/>
    <col min="6410" max="6410" width="9.140625" style="11"/>
    <col min="6411" max="6411" width="14.7109375" style="11" customWidth="1"/>
    <col min="6412" max="6412" width="12" style="11" bestFit="1" customWidth="1"/>
    <col min="6413" max="6414" width="12" style="11" customWidth="1"/>
    <col min="6415" max="6415" width="3.85546875" style="11" bestFit="1" customWidth="1"/>
    <col min="6416" max="6416" width="11.42578125" style="11" customWidth="1"/>
    <col min="6417" max="6417" width="11.85546875" style="11" customWidth="1"/>
    <col min="6418" max="6418" width="10.5703125" style="11" customWidth="1"/>
    <col min="6419" max="6419" width="13.7109375" style="11" customWidth="1"/>
    <col min="6420" max="6656" width="9.140625" style="11"/>
    <col min="6657" max="6657" width="3.140625" style="11" customWidth="1"/>
    <col min="6658" max="6658" width="11.85546875" style="11" customWidth="1"/>
    <col min="6659" max="6659" width="3" style="11" customWidth="1"/>
    <col min="6660" max="6660" width="5.42578125" style="11" customWidth="1"/>
    <col min="6661" max="6661" width="9.7109375" style="11" customWidth="1"/>
    <col min="6662" max="6662" width="8.28515625" style="11" customWidth="1"/>
    <col min="6663" max="6663" width="13.5703125" style="11" bestFit="1" customWidth="1"/>
    <col min="6664" max="6664" width="11" style="11" customWidth="1"/>
    <col min="6665" max="6665" width="10.85546875" style="11" customWidth="1"/>
    <col min="6666" max="6666" width="9.140625" style="11"/>
    <col min="6667" max="6667" width="14.7109375" style="11" customWidth="1"/>
    <col min="6668" max="6668" width="12" style="11" bestFit="1" customWidth="1"/>
    <col min="6669" max="6670" width="12" style="11" customWidth="1"/>
    <col min="6671" max="6671" width="3.85546875" style="11" bestFit="1" customWidth="1"/>
    <col min="6672" max="6672" width="11.42578125" style="11" customWidth="1"/>
    <col min="6673" max="6673" width="11.85546875" style="11" customWidth="1"/>
    <col min="6674" max="6674" width="10.5703125" style="11" customWidth="1"/>
    <col min="6675" max="6675" width="13.7109375" style="11" customWidth="1"/>
    <col min="6676" max="6912" width="9.140625" style="11"/>
    <col min="6913" max="6913" width="3.140625" style="11" customWidth="1"/>
    <col min="6914" max="6914" width="11.85546875" style="11" customWidth="1"/>
    <col min="6915" max="6915" width="3" style="11" customWidth="1"/>
    <col min="6916" max="6916" width="5.42578125" style="11" customWidth="1"/>
    <col min="6917" max="6917" width="9.7109375" style="11" customWidth="1"/>
    <col min="6918" max="6918" width="8.28515625" style="11" customWidth="1"/>
    <col min="6919" max="6919" width="13.5703125" style="11" bestFit="1" customWidth="1"/>
    <col min="6920" max="6920" width="11" style="11" customWidth="1"/>
    <col min="6921" max="6921" width="10.85546875" style="11" customWidth="1"/>
    <col min="6922" max="6922" width="9.140625" style="11"/>
    <col min="6923" max="6923" width="14.7109375" style="11" customWidth="1"/>
    <col min="6924" max="6924" width="12" style="11" bestFit="1" customWidth="1"/>
    <col min="6925" max="6926" width="12" style="11" customWidth="1"/>
    <col min="6927" max="6927" width="3.85546875" style="11" bestFit="1" customWidth="1"/>
    <col min="6928" max="6928" width="11.42578125" style="11" customWidth="1"/>
    <col min="6929" max="6929" width="11.85546875" style="11" customWidth="1"/>
    <col min="6930" max="6930" width="10.5703125" style="11" customWidth="1"/>
    <col min="6931" max="6931" width="13.7109375" style="11" customWidth="1"/>
    <col min="6932" max="7168" width="9.140625" style="11"/>
    <col min="7169" max="7169" width="3.140625" style="11" customWidth="1"/>
    <col min="7170" max="7170" width="11.85546875" style="11" customWidth="1"/>
    <col min="7171" max="7171" width="3" style="11" customWidth="1"/>
    <col min="7172" max="7172" width="5.42578125" style="11" customWidth="1"/>
    <col min="7173" max="7173" width="9.7109375" style="11" customWidth="1"/>
    <col min="7174" max="7174" width="8.28515625" style="11" customWidth="1"/>
    <col min="7175" max="7175" width="13.5703125" style="11" bestFit="1" customWidth="1"/>
    <col min="7176" max="7176" width="11" style="11" customWidth="1"/>
    <col min="7177" max="7177" width="10.85546875" style="11" customWidth="1"/>
    <col min="7178" max="7178" width="9.140625" style="11"/>
    <col min="7179" max="7179" width="14.7109375" style="11" customWidth="1"/>
    <col min="7180" max="7180" width="12" style="11" bestFit="1" customWidth="1"/>
    <col min="7181" max="7182" width="12" style="11" customWidth="1"/>
    <col min="7183" max="7183" width="3.85546875" style="11" bestFit="1" customWidth="1"/>
    <col min="7184" max="7184" width="11.42578125" style="11" customWidth="1"/>
    <col min="7185" max="7185" width="11.85546875" style="11" customWidth="1"/>
    <col min="7186" max="7186" width="10.5703125" style="11" customWidth="1"/>
    <col min="7187" max="7187" width="13.7109375" style="11" customWidth="1"/>
    <col min="7188" max="7424" width="9.140625" style="11"/>
    <col min="7425" max="7425" width="3.140625" style="11" customWidth="1"/>
    <col min="7426" max="7426" width="11.85546875" style="11" customWidth="1"/>
    <col min="7427" max="7427" width="3" style="11" customWidth="1"/>
    <col min="7428" max="7428" width="5.42578125" style="11" customWidth="1"/>
    <col min="7429" max="7429" width="9.7109375" style="11" customWidth="1"/>
    <col min="7430" max="7430" width="8.28515625" style="11" customWidth="1"/>
    <col min="7431" max="7431" width="13.5703125" style="11" bestFit="1" customWidth="1"/>
    <col min="7432" max="7432" width="11" style="11" customWidth="1"/>
    <col min="7433" max="7433" width="10.85546875" style="11" customWidth="1"/>
    <col min="7434" max="7434" width="9.140625" style="11"/>
    <col min="7435" max="7435" width="14.7109375" style="11" customWidth="1"/>
    <col min="7436" max="7436" width="12" style="11" bestFit="1" customWidth="1"/>
    <col min="7437" max="7438" width="12" style="11" customWidth="1"/>
    <col min="7439" max="7439" width="3.85546875" style="11" bestFit="1" customWidth="1"/>
    <col min="7440" max="7440" width="11.42578125" style="11" customWidth="1"/>
    <col min="7441" max="7441" width="11.85546875" style="11" customWidth="1"/>
    <col min="7442" max="7442" width="10.5703125" style="11" customWidth="1"/>
    <col min="7443" max="7443" width="13.7109375" style="11" customWidth="1"/>
    <col min="7444" max="7680" width="9.140625" style="11"/>
    <col min="7681" max="7681" width="3.140625" style="11" customWidth="1"/>
    <col min="7682" max="7682" width="11.85546875" style="11" customWidth="1"/>
    <col min="7683" max="7683" width="3" style="11" customWidth="1"/>
    <col min="7684" max="7684" width="5.42578125" style="11" customWidth="1"/>
    <col min="7685" max="7685" width="9.7109375" style="11" customWidth="1"/>
    <col min="7686" max="7686" width="8.28515625" style="11" customWidth="1"/>
    <col min="7687" max="7687" width="13.5703125" style="11" bestFit="1" customWidth="1"/>
    <col min="7688" max="7688" width="11" style="11" customWidth="1"/>
    <col min="7689" max="7689" width="10.85546875" style="11" customWidth="1"/>
    <col min="7690" max="7690" width="9.140625" style="11"/>
    <col min="7691" max="7691" width="14.7109375" style="11" customWidth="1"/>
    <col min="7692" max="7692" width="12" style="11" bestFit="1" customWidth="1"/>
    <col min="7693" max="7694" width="12" style="11" customWidth="1"/>
    <col min="7695" max="7695" width="3.85546875" style="11" bestFit="1" customWidth="1"/>
    <col min="7696" max="7696" width="11.42578125" style="11" customWidth="1"/>
    <col min="7697" max="7697" width="11.85546875" style="11" customWidth="1"/>
    <col min="7698" max="7698" width="10.5703125" style="11" customWidth="1"/>
    <col min="7699" max="7699" width="13.7109375" style="11" customWidth="1"/>
    <col min="7700" max="7936" width="9.140625" style="11"/>
    <col min="7937" max="7937" width="3.140625" style="11" customWidth="1"/>
    <col min="7938" max="7938" width="11.85546875" style="11" customWidth="1"/>
    <col min="7939" max="7939" width="3" style="11" customWidth="1"/>
    <col min="7940" max="7940" width="5.42578125" style="11" customWidth="1"/>
    <col min="7941" max="7941" width="9.7109375" style="11" customWidth="1"/>
    <col min="7942" max="7942" width="8.28515625" style="11" customWidth="1"/>
    <col min="7943" max="7943" width="13.5703125" style="11" bestFit="1" customWidth="1"/>
    <col min="7944" max="7944" width="11" style="11" customWidth="1"/>
    <col min="7945" max="7945" width="10.85546875" style="11" customWidth="1"/>
    <col min="7946" max="7946" width="9.140625" style="11"/>
    <col min="7947" max="7947" width="14.7109375" style="11" customWidth="1"/>
    <col min="7948" max="7948" width="12" style="11" bestFit="1" customWidth="1"/>
    <col min="7949" max="7950" width="12" style="11" customWidth="1"/>
    <col min="7951" max="7951" width="3.85546875" style="11" bestFit="1" customWidth="1"/>
    <col min="7952" max="7952" width="11.42578125" style="11" customWidth="1"/>
    <col min="7953" max="7953" width="11.85546875" style="11" customWidth="1"/>
    <col min="7954" max="7954" width="10.5703125" style="11" customWidth="1"/>
    <col min="7955" max="7955" width="13.7109375" style="11" customWidth="1"/>
    <col min="7956" max="8192" width="9.140625" style="11"/>
    <col min="8193" max="8193" width="3.140625" style="11" customWidth="1"/>
    <col min="8194" max="8194" width="11.85546875" style="11" customWidth="1"/>
    <col min="8195" max="8195" width="3" style="11" customWidth="1"/>
    <col min="8196" max="8196" width="5.42578125" style="11" customWidth="1"/>
    <col min="8197" max="8197" width="9.7109375" style="11" customWidth="1"/>
    <col min="8198" max="8198" width="8.28515625" style="11" customWidth="1"/>
    <col min="8199" max="8199" width="13.5703125" style="11" bestFit="1" customWidth="1"/>
    <col min="8200" max="8200" width="11" style="11" customWidth="1"/>
    <col min="8201" max="8201" width="10.85546875" style="11" customWidth="1"/>
    <col min="8202" max="8202" width="9.140625" style="11"/>
    <col min="8203" max="8203" width="14.7109375" style="11" customWidth="1"/>
    <col min="8204" max="8204" width="12" style="11" bestFit="1" customWidth="1"/>
    <col min="8205" max="8206" width="12" style="11" customWidth="1"/>
    <col min="8207" max="8207" width="3.85546875" style="11" bestFit="1" customWidth="1"/>
    <col min="8208" max="8208" width="11.42578125" style="11" customWidth="1"/>
    <col min="8209" max="8209" width="11.85546875" style="11" customWidth="1"/>
    <col min="8210" max="8210" width="10.5703125" style="11" customWidth="1"/>
    <col min="8211" max="8211" width="13.7109375" style="11" customWidth="1"/>
    <col min="8212" max="8448" width="9.140625" style="11"/>
    <col min="8449" max="8449" width="3.140625" style="11" customWidth="1"/>
    <col min="8450" max="8450" width="11.85546875" style="11" customWidth="1"/>
    <col min="8451" max="8451" width="3" style="11" customWidth="1"/>
    <col min="8452" max="8452" width="5.42578125" style="11" customWidth="1"/>
    <col min="8453" max="8453" width="9.7109375" style="11" customWidth="1"/>
    <col min="8454" max="8454" width="8.28515625" style="11" customWidth="1"/>
    <col min="8455" max="8455" width="13.5703125" style="11" bestFit="1" customWidth="1"/>
    <col min="8456" max="8456" width="11" style="11" customWidth="1"/>
    <col min="8457" max="8457" width="10.85546875" style="11" customWidth="1"/>
    <col min="8458" max="8458" width="9.140625" style="11"/>
    <col min="8459" max="8459" width="14.7109375" style="11" customWidth="1"/>
    <col min="8460" max="8460" width="12" style="11" bestFit="1" customWidth="1"/>
    <col min="8461" max="8462" width="12" style="11" customWidth="1"/>
    <col min="8463" max="8463" width="3.85546875" style="11" bestFit="1" customWidth="1"/>
    <col min="8464" max="8464" width="11.42578125" style="11" customWidth="1"/>
    <col min="8465" max="8465" width="11.85546875" style="11" customWidth="1"/>
    <col min="8466" max="8466" width="10.5703125" style="11" customWidth="1"/>
    <col min="8467" max="8467" width="13.7109375" style="11" customWidth="1"/>
    <col min="8468" max="8704" width="9.140625" style="11"/>
    <col min="8705" max="8705" width="3.140625" style="11" customWidth="1"/>
    <col min="8706" max="8706" width="11.85546875" style="11" customWidth="1"/>
    <col min="8707" max="8707" width="3" style="11" customWidth="1"/>
    <col min="8708" max="8708" width="5.42578125" style="11" customWidth="1"/>
    <col min="8709" max="8709" width="9.7109375" style="11" customWidth="1"/>
    <col min="8710" max="8710" width="8.28515625" style="11" customWidth="1"/>
    <col min="8711" max="8711" width="13.5703125" style="11" bestFit="1" customWidth="1"/>
    <col min="8712" max="8712" width="11" style="11" customWidth="1"/>
    <col min="8713" max="8713" width="10.85546875" style="11" customWidth="1"/>
    <col min="8714" max="8714" width="9.140625" style="11"/>
    <col min="8715" max="8715" width="14.7109375" style="11" customWidth="1"/>
    <col min="8716" max="8716" width="12" style="11" bestFit="1" customWidth="1"/>
    <col min="8717" max="8718" width="12" style="11" customWidth="1"/>
    <col min="8719" max="8719" width="3.85546875" style="11" bestFit="1" customWidth="1"/>
    <col min="8720" max="8720" width="11.42578125" style="11" customWidth="1"/>
    <col min="8721" max="8721" width="11.85546875" style="11" customWidth="1"/>
    <col min="8722" max="8722" width="10.5703125" style="11" customWidth="1"/>
    <col min="8723" max="8723" width="13.7109375" style="11" customWidth="1"/>
    <col min="8724" max="8960" width="9.140625" style="11"/>
    <col min="8961" max="8961" width="3.140625" style="11" customWidth="1"/>
    <col min="8962" max="8962" width="11.85546875" style="11" customWidth="1"/>
    <col min="8963" max="8963" width="3" style="11" customWidth="1"/>
    <col min="8964" max="8964" width="5.42578125" style="11" customWidth="1"/>
    <col min="8965" max="8965" width="9.7109375" style="11" customWidth="1"/>
    <col min="8966" max="8966" width="8.28515625" style="11" customWidth="1"/>
    <col min="8967" max="8967" width="13.5703125" style="11" bestFit="1" customWidth="1"/>
    <col min="8968" max="8968" width="11" style="11" customWidth="1"/>
    <col min="8969" max="8969" width="10.85546875" style="11" customWidth="1"/>
    <col min="8970" max="8970" width="9.140625" style="11"/>
    <col min="8971" max="8971" width="14.7109375" style="11" customWidth="1"/>
    <col min="8972" max="8972" width="12" style="11" bestFit="1" customWidth="1"/>
    <col min="8973" max="8974" width="12" style="11" customWidth="1"/>
    <col min="8975" max="8975" width="3.85546875" style="11" bestFit="1" customWidth="1"/>
    <col min="8976" max="8976" width="11.42578125" style="11" customWidth="1"/>
    <col min="8977" max="8977" width="11.85546875" style="11" customWidth="1"/>
    <col min="8978" max="8978" width="10.5703125" style="11" customWidth="1"/>
    <col min="8979" max="8979" width="13.7109375" style="11" customWidth="1"/>
    <col min="8980" max="9216" width="9.140625" style="11"/>
    <col min="9217" max="9217" width="3.140625" style="11" customWidth="1"/>
    <col min="9218" max="9218" width="11.85546875" style="11" customWidth="1"/>
    <col min="9219" max="9219" width="3" style="11" customWidth="1"/>
    <col min="9220" max="9220" width="5.42578125" style="11" customWidth="1"/>
    <col min="9221" max="9221" width="9.7109375" style="11" customWidth="1"/>
    <col min="9222" max="9222" width="8.28515625" style="11" customWidth="1"/>
    <col min="9223" max="9223" width="13.5703125" style="11" bestFit="1" customWidth="1"/>
    <col min="9224" max="9224" width="11" style="11" customWidth="1"/>
    <col min="9225" max="9225" width="10.85546875" style="11" customWidth="1"/>
    <col min="9226" max="9226" width="9.140625" style="11"/>
    <col min="9227" max="9227" width="14.7109375" style="11" customWidth="1"/>
    <col min="9228" max="9228" width="12" style="11" bestFit="1" customWidth="1"/>
    <col min="9229" max="9230" width="12" style="11" customWidth="1"/>
    <col min="9231" max="9231" width="3.85546875" style="11" bestFit="1" customWidth="1"/>
    <col min="9232" max="9232" width="11.42578125" style="11" customWidth="1"/>
    <col min="9233" max="9233" width="11.85546875" style="11" customWidth="1"/>
    <col min="9234" max="9234" width="10.5703125" style="11" customWidth="1"/>
    <col min="9235" max="9235" width="13.7109375" style="11" customWidth="1"/>
    <col min="9236" max="9472" width="9.140625" style="11"/>
    <col min="9473" max="9473" width="3.140625" style="11" customWidth="1"/>
    <col min="9474" max="9474" width="11.85546875" style="11" customWidth="1"/>
    <col min="9475" max="9475" width="3" style="11" customWidth="1"/>
    <col min="9476" max="9476" width="5.42578125" style="11" customWidth="1"/>
    <col min="9477" max="9477" width="9.7109375" style="11" customWidth="1"/>
    <col min="9478" max="9478" width="8.28515625" style="11" customWidth="1"/>
    <col min="9479" max="9479" width="13.5703125" style="11" bestFit="1" customWidth="1"/>
    <col min="9480" max="9480" width="11" style="11" customWidth="1"/>
    <col min="9481" max="9481" width="10.85546875" style="11" customWidth="1"/>
    <col min="9482" max="9482" width="9.140625" style="11"/>
    <col min="9483" max="9483" width="14.7109375" style="11" customWidth="1"/>
    <col min="9484" max="9484" width="12" style="11" bestFit="1" customWidth="1"/>
    <col min="9485" max="9486" width="12" style="11" customWidth="1"/>
    <col min="9487" max="9487" width="3.85546875" style="11" bestFit="1" customWidth="1"/>
    <col min="9488" max="9488" width="11.42578125" style="11" customWidth="1"/>
    <col min="9489" max="9489" width="11.85546875" style="11" customWidth="1"/>
    <col min="9490" max="9490" width="10.5703125" style="11" customWidth="1"/>
    <col min="9491" max="9491" width="13.7109375" style="11" customWidth="1"/>
    <col min="9492" max="9728" width="9.140625" style="11"/>
    <col min="9729" max="9729" width="3.140625" style="11" customWidth="1"/>
    <col min="9730" max="9730" width="11.85546875" style="11" customWidth="1"/>
    <col min="9731" max="9731" width="3" style="11" customWidth="1"/>
    <col min="9732" max="9732" width="5.42578125" style="11" customWidth="1"/>
    <col min="9733" max="9733" width="9.7109375" style="11" customWidth="1"/>
    <col min="9734" max="9734" width="8.28515625" style="11" customWidth="1"/>
    <col min="9735" max="9735" width="13.5703125" style="11" bestFit="1" customWidth="1"/>
    <col min="9736" max="9736" width="11" style="11" customWidth="1"/>
    <col min="9737" max="9737" width="10.85546875" style="11" customWidth="1"/>
    <col min="9738" max="9738" width="9.140625" style="11"/>
    <col min="9739" max="9739" width="14.7109375" style="11" customWidth="1"/>
    <col min="9740" max="9740" width="12" style="11" bestFit="1" customWidth="1"/>
    <col min="9741" max="9742" width="12" style="11" customWidth="1"/>
    <col min="9743" max="9743" width="3.85546875" style="11" bestFit="1" customWidth="1"/>
    <col min="9744" max="9744" width="11.42578125" style="11" customWidth="1"/>
    <col min="9745" max="9745" width="11.85546875" style="11" customWidth="1"/>
    <col min="9746" max="9746" width="10.5703125" style="11" customWidth="1"/>
    <col min="9747" max="9747" width="13.7109375" style="11" customWidth="1"/>
    <col min="9748" max="9984" width="9.140625" style="11"/>
    <col min="9985" max="9985" width="3.140625" style="11" customWidth="1"/>
    <col min="9986" max="9986" width="11.85546875" style="11" customWidth="1"/>
    <col min="9987" max="9987" width="3" style="11" customWidth="1"/>
    <col min="9988" max="9988" width="5.42578125" style="11" customWidth="1"/>
    <col min="9989" max="9989" width="9.7109375" style="11" customWidth="1"/>
    <col min="9990" max="9990" width="8.28515625" style="11" customWidth="1"/>
    <col min="9991" max="9991" width="13.5703125" style="11" bestFit="1" customWidth="1"/>
    <col min="9992" max="9992" width="11" style="11" customWidth="1"/>
    <col min="9993" max="9993" width="10.85546875" style="11" customWidth="1"/>
    <col min="9994" max="9994" width="9.140625" style="11"/>
    <col min="9995" max="9995" width="14.7109375" style="11" customWidth="1"/>
    <col min="9996" max="9996" width="12" style="11" bestFit="1" customWidth="1"/>
    <col min="9997" max="9998" width="12" style="11" customWidth="1"/>
    <col min="9999" max="9999" width="3.85546875" style="11" bestFit="1" customWidth="1"/>
    <col min="10000" max="10000" width="11.42578125" style="11" customWidth="1"/>
    <col min="10001" max="10001" width="11.85546875" style="11" customWidth="1"/>
    <col min="10002" max="10002" width="10.5703125" style="11" customWidth="1"/>
    <col min="10003" max="10003" width="13.7109375" style="11" customWidth="1"/>
    <col min="10004" max="10240" width="9.140625" style="11"/>
    <col min="10241" max="10241" width="3.140625" style="11" customWidth="1"/>
    <col min="10242" max="10242" width="11.85546875" style="11" customWidth="1"/>
    <col min="10243" max="10243" width="3" style="11" customWidth="1"/>
    <col min="10244" max="10244" width="5.42578125" style="11" customWidth="1"/>
    <col min="10245" max="10245" width="9.7109375" style="11" customWidth="1"/>
    <col min="10246" max="10246" width="8.28515625" style="11" customWidth="1"/>
    <col min="10247" max="10247" width="13.5703125" style="11" bestFit="1" customWidth="1"/>
    <col min="10248" max="10248" width="11" style="11" customWidth="1"/>
    <col min="10249" max="10249" width="10.85546875" style="11" customWidth="1"/>
    <col min="10250" max="10250" width="9.140625" style="11"/>
    <col min="10251" max="10251" width="14.7109375" style="11" customWidth="1"/>
    <col min="10252" max="10252" width="12" style="11" bestFit="1" customWidth="1"/>
    <col min="10253" max="10254" width="12" style="11" customWidth="1"/>
    <col min="10255" max="10255" width="3.85546875" style="11" bestFit="1" customWidth="1"/>
    <col min="10256" max="10256" width="11.42578125" style="11" customWidth="1"/>
    <col min="10257" max="10257" width="11.85546875" style="11" customWidth="1"/>
    <col min="10258" max="10258" width="10.5703125" style="11" customWidth="1"/>
    <col min="10259" max="10259" width="13.7109375" style="11" customWidth="1"/>
    <col min="10260" max="10496" width="9.140625" style="11"/>
    <col min="10497" max="10497" width="3.140625" style="11" customWidth="1"/>
    <col min="10498" max="10498" width="11.85546875" style="11" customWidth="1"/>
    <col min="10499" max="10499" width="3" style="11" customWidth="1"/>
    <col min="10500" max="10500" width="5.42578125" style="11" customWidth="1"/>
    <col min="10501" max="10501" width="9.7109375" style="11" customWidth="1"/>
    <col min="10502" max="10502" width="8.28515625" style="11" customWidth="1"/>
    <col min="10503" max="10503" width="13.5703125" style="11" bestFit="1" customWidth="1"/>
    <col min="10504" max="10504" width="11" style="11" customWidth="1"/>
    <col min="10505" max="10505" width="10.85546875" style="11" customWidth="1"/>
    <col min="10506" max="10506" width="9.140625" style="11"/>
    <col min="10507" max="10507" width="14.7109375" style="11" customWidth="1"/>
    <col min="10508" max="10508" width="12" style="11" bestFit="1" customWidth="1"/>
    <col min="10509" max="10510" width="12" style="11" customWidth="1"/>
    <col min="10511" max="10511" width="3.85546875" style="11" bestFit="1" customWidth="1"/>
    <col min="10512" max="10512" width="11.42578125" style="11" customWidth="1"/>
    <col min="10513" max="10513" width="11.85546875" style="11" customWidth="1"/>
    <col min="10514" max="10514" width="10.5703125" style="11" customWidth="1"/>
    <col min="10515" max="10515" width="13.7109375" style="11" customWidth="1"/>
    <col min="10516" max="10752" width="9.140625" style="11"/>
    <col min="10753" max="10753" width="3.140625" style="11" customWidth="1"/>
    <col min="10754" max="10754" width="11.85546875" style="11" customWidth="1"/>
    <col min="10755" max="10755" width="3" style="11" customWidth="1"/>
    <col min="10756" max="10756" width="5.42578125" style="11" customWidth="1"/>
    <col min="10757" max="10757" width="9.7109375" style="11" customWidth="1"/>
    <col min="10758" max="10758" width="8.28515625" style="11" customWidth="1"/>
    <col min="10759" max="10759" width="13.5703125" style="11" bestFit="1" customWidth="1"/>
    <col min="10760" max="10760" width="11" style="11" customWidth="1"/>
    <col min="10761" max="10761" width="10.85546875" style="11" customWidth="1"/>
    <col min="10762" max="10762" width="9.140625" style="11"/>
    <col min="10763" max="10763" width="14.7109375" style="11" customWidth="1"/>
    <col min="10764" max="10764" width="12" style="11" bestFit="1" customWidth="1"/>
    <col min="10765" max="10766" width="12" style="11" customWidth="1"/>
    <col min="10767" max="10767" width="3.85546875" style="11" bestFit="1" customWidth="1"/>
    <col min="10768" max="10768" width="11.42578125" style="11" customWidth="1"/>
    <col min="10769" max="10769" width="11.85546875" style="11" customWidth="1"/>
    <col min="10770" max="10770" width="10.5703125" style="11" customWidth="1"/>
    <col min="10771" max="10771" width="13.7109375" style="11" customWidth="1"/>
    <col min="10772" max="11008" width="9.140625" style="11"/>
    <col min="11009" max="11009" width="3.140625" style="11" customWidth="1"/>
    <col min="11010" max="11010" width="11.85546875" style="11" customWidth="1"/>
    <col min="11011" max="11011" width="3" style="11" customWidth="1"/>
    <col min="11012" max="11012" width="5.42578125" style="11" customWidth="1"/>
    <col min="11013" max="11013" width="9.7109375" style="11" customWidth="1"/>
    <col min="11014" max="11014" width="8.28515625" style="11" customWidth="1"/>
    <col min="11015" max="11015" width="13.5703125" style="11" bestFit="1" customWidth="1"/>
    <col min="11016" max="11016" width="11" style="11" customWidth="1"/>
    <col min="11017" max="11017" width="10.85546875" style="11" customWidth="1"/>
    <col min="11018" max="11018" width="9.140625" style="11"/>
    <col min="11019" max="11019" width="14.7109375" style="11" customWidth="1"/>
    <col min="11020" max="11020" width="12" style="11" bestFit="1" customWidth="1"/>
    <col min="11021" max="11022" width="12" style="11" customWidth="1"/>
    <col min="11023" max="11023" width="3.85546875" style="11" bestFit="1" customWidth="1"/>
    <col min="11024" max="11024" width="11.42578125" style="11" customWidth="1"/>
    <col min="11025" max="11025" width="11.85546875" style="11" customWidth="1"/>
    <col min="11026" max="11026" width="10.5703125" style="11" customWidth="1"/>
    <col min="11027" max="11027" width="13.7109375" style="11" customWidth="1"/>
    <col min="11028" max="11264" width="9.140625" style="11"/>
    <col min="11265" max="11265" width="3.140625" style="11" customWidth="1"/>
    <col min="11266" max="11266" width="11.85546875" style="11" customWidth="1"/>
    <col min="11267" max="11267" width="3" style="11" customWidth="1"/>
    <col min="11268" max="11268" width="5.42578125" style="11" customWidth="1"/>
    <col min="11269" max="11269" width="9.7109375" style="11" customWidth="1"/>
    <col min="11270" max="11270" width="8.28515625" style="11" customWidth="1"/>
    <col min="11271" max="11271" width="13.5703125" style="11" bestFit="1" customWidth="1"/>
    <col min="11272" max="11272" width="11" style="11" customWidth="1"/>
    <col min="11273" max="11273" width="10.85546875" style="11" customWidth="1"/>
    <col min="11274" max="11274" width="9.140625" style="11"/>
    <col min="11275" max="11275" width="14.7109375" style="11" customWidth="1"/>
    <col min="11276" max="11276" width="12" style="11" bestFit="1" customWidth="1"/>
    <col min="11277" max="11278" width="12" style="11" customWidth="1"/>
    <col min="11279" max="11279" width="3.85546875" style="11" bestFit="1" customWidth="1"/>
    <col min="11280" max="11280" width="11.42578125" style="11" customWidth="1"/>
    <col min="11281" max="11281" width="11.85546875" style="11" customWidth="1"/>
    <col min="11282" max="11282" width="10.5703125" style="11" customWidth="1"/>
    <col min="11283" max="11283" width="13.7109375" style="11" customWidth="1"/>
    <col min="11284" max="11520" width="9.140625" style="11"/>
    <col min="11521" max="11521" width="3.140625" style="11" customWidth="1"/>
    <col min="11522" max="11522" width="11.85546875" style="11" customWidth="1"/>
    <col min="11523" max="11523" width="3" style="11" customWidth="1"/>
    <col min="11524" max="11524" width="5.42578125" style="11" customWidth="1"/>
    <col min="11525" max="11525" width="9.7109375" style="11" customWidth="1"/>
    <col min="11526" max="11526" width="8.28515625" style="11" customWidth="1"/>
    <col min="11527" max="11527" width="13.5703125" style="11" bestFit="1" customWidth="1"/>
    <col min="11528" max="11528" width="11" style="11" customWidth="1"/>
    <col min="11529" max="11529" width="10.85546875" style="11" customWidth="1"/>
    <col min="11530" max="11530" width="9.140625" style="11"/>
    <col min="11531" max="11531" width="14.7109375" style="11" customWidth="1"/>
    <col min="11532" max="11532" width="12" style="11" bestFit="1" customWidth="1"/>
    <col min="11533" max="11534" width="12" style="11" customWidth="1"/>
    <col min="11535" max="11535" width="3.85546875" style="11" bestFit="1" customWidth="1"/>
    <col min="11536" max="11536" width="11.42578125" style="11" customWidth="1"/>
    <col min="11537" max="11537" width="11.85546875" style="11" customWidth="1"/>
    <col min="11538" max="11538" width="10.5703125" style="11" customWidth="1"/>
    <col min="11539" max="11539" width="13.7109375" style="11" customWidth="1"/>
    <col min="11540" max="11776" width="9.140625" style="11"/>
    <col min="11777" max="11777" width="3.140625" style="11" customWidth="1"/>
    <col min="11778" max="11778" width="11.85546875" style="11" customWidth="1"/>
    <col min="11779" max="11779" width="3" style="11" customWidth="1"/>
    <col min="11780" max="11780" width="5.42578125" style="11" customWidth="1"/>
    <col min="11781" max="11781" width="9.7109375" style="11" customWidth="1"/>
    <col min="11782" max="11782" width="8.28515625" style="11" customWidth="1"/>
    <col min="11783" max="11783" width="13.5703125" style="11" bestFit="1" customWidth="1"/>
    <col min="11784" max="11784" width="11" style="11" customWidth="1"/>
    <col min="11785" max="11785" width="10.85546875" style="11" customWidth="1"/>
    <col min="11786" max="11786" width="9.140625" style="11"/>
    <col min="11787" max="11787" width="14.7109375" style="11" customWidth="1"/>
    <col min="11788" max="11788" width="12" style="11" bestFit="1" customWidth="1"/>
    <col min="11789" max="11790" width="12" style="11" customWidth="1"/>
    <col min="11791" max="11791" width="3.85546875" style="11" bestFit="1" customWidth="1"/>
    <col min="11792" max="11792" width="11.42578125" style="11" customWidth="1"/>
    <col min="11793" max="11793" width="11.85546875" style="11" customWidth="1"/>
    <col min="11794" max="11794" width="10.5703125" style="11" customWidth="1"/>
    <col min="11795" max="11795" width="13.7109375" style="11" customWidth="1"/>
    <col min="11796" max="12032" width="9.140625" style="11"/>
    <col min="12033" max="12033" width="3.140625" style="11" customWidth="1"/>
    <col min="12034" max="12034" width="11.85546875" style="11" customWidth="1"/>
    <col min="12035" max="12035" width="3" style="11" customWidth="1"/>
    <col min="12036" max="12036" width="5.42578125" style="11" customWidth="1"/>
    <col min="12037" max="12037" width="9.7109375" style="11" customWidth="1"/>
    <col min="12038" max="12038" width="8.28515625" style="11" customWidth="1"/>
    <col min="12039" max="12039" width="13.5703125" style="11" bestFit="1" customWidth="1"/>
    <col min="12040" max="12040" width="11" style="11" customWidth="1"/>
    <col min="12041" max="12041" width="10.85546875" style="11" customWidth="1"/>
    <col min="12042" max="12042" width="9.140625" style="11"/>
    <col min="12043" max="12043" width="14.7109375" style="11" customWidth="1"/>
    <col min="12044" max="12044" width="12" style="11" bestFit="1" customWidth="1"/>
    <col min="12045" max="12046" width="12" style="11" customWidth="1"/>
    <col min="12047" max="12047" width="3.85546875" style="11" bestFit="1" customWidth="1"/>
    <col min="12048" max="12048" width="11.42578125" style="11" customWidth="1"/>
    <col min="12049" max="12049" width="11.85546875" style="11" customWidth="1"/>
    <col min="12050" max="12050" width="10.5703125" style="11" customWidth="1"/>
    <col min="12051" max="12051" width="13.7109375" style="11" customWidth="1"/>
    <col min="12052" max="12288" width="9.140625" style="11"/>
    <col min="12289" max="12289" width="3.140625" style="11" customWidth="1"/>
    <col min="12290" max="12290" width="11.85546875" style="11" customWidth="1"/>
    <col min="12291" max="12291" width="3" style="11" customWidth="1"/>
    <col min="12292" max="12292" width="5.42578125" style="11" customWidth="1"/>
    <col min="12293" max="12293" width="9.7109375" style="11" customWidth="1"/>
    <col min="12294" max="12294" width="8.28515625" style="11" customWidth="1"/>
    <col min="12295" max="12295" width="13.5703125" style="11" bestFit="1" customWidth="1"/>
    <col min="12296" max="12296" width="11" style="11" customWidth="1"/>
    <col min="12297" max="12297" width="10.85546875" style="11" customWidth="1"/>
    <col min="12298" max="12298" width="9.140625" style="11"/>
    <col min="12299" max="12299" width="14.7109375" style="11" customWidth="1"/>
    <col min="12300" max="12300" width="12" style="11" bestFit="1" customWidth="1"/>
    <col min="12301" max="12302" width="12" style="11" customWidth="1"/>
    <col min="12303" max="12303" width="3.85546875" style="11" bestFit="1" customWidth="1"/>
    <col min="12304" max="12304" width="11.42578125" style="11" customWidth="1"/>
    <col min="12305" max="12305" width="11.85546875" style="11" customWidth="1"/>
    <col min="12306" max="12306" width="10.5703125" style="11" customWidth="1"/>
    <col min="12307" max="12307" width="13.7109375" style="11" customWidth="1"/>
    <col min="12308" max="12544" width="9.140625" style="11"/>
    <col min="12545" max="12545" width="3.140625" style="11" customWidth="1"/>
    <col min="12546" max="12546" width="11.85546875" style="11" customWidth="1"/>
    <col min="12547" max="12547" width="3" style="11" customWidth="1"/>
    <col min="12548" max="12548" width="5.42578125" style="11" customWidth="1"/>
    <col min="12549" max="12549" width="9.7109375" style="11" customWidth="1"/>
    <col min="12550" max="12550" width="8.28515625" style="11" customWidth="1"/>
    <col min="12551" max="12551" width="13.5703125" style="11" bestFit="1" customWidth="1"/>
    <col min="12552" max="12552" width="11" style="11" customWidth="1"/>
    <col min="12553" max="12553" width="10.85546875" style="11" customWidth="1"/>
    <col min="12554" max="12554" width="9.140625" style="11"/>
    <col min="12555" max="12555" width="14.7109375" style="11" customWidth="1"/>
    <col min="12556" max="12556" width="12" style="11" bestFit="1" customWidth="1"/>
    <col min="12557" max="12558" width="12" style="11" customWidth="1"/>
    <col min="12559" max="12559" width="3.85546875" style="11" bestFit="1" customWidth="1"/>
    <col min="12560" max="12560" width="11.42578125" style="11" customWidth="1"/>
    <col min="12561" max="12561" width="11.85546875" style="11" customWidth="1"/>
    <col min="12562" max="12562" width="10.5703125" style="11" customWidth="1"/>
    <col min="12563" max="12563" width="13.7109375" style="11" customWidth="1"/>
    <col min="12564" max="12800" width="9.140625" style="11"/>
    <col min="12801" max="12801" width="3.140625" style="11" customWidth="1"/>
    <col min="12802" max="12802" width="11.85546875" style="11" customWidth="1"/>
    <col min="12803" max="12803" width="3" style="11" customWidth="1"/>
    <col min="12804" max="12804" width="5.42578125" style="11" customWidth="1"/>
    <col min="12805" max="12805" width="9.7109375" style="11" customWidth="1"/>
    <col min="12806" max="12806" width="8.28515625" style="11" customWidth="1"/>
    <col min="12807" max="12807" width="13.5703125" style="11" bestFit="1" customWidth="1"/>
    <col min="12808" max="12808" width="11" style="11" customWidth="1"/>
    <col min="12809" max="12809" width="10.85546875" style="11" customWidth="1"/>
    <col min="12810" max="12810" width="9.140625" style="11"/>
    <col min="12811" max="12811" width="14.7109375" style="11" customWidth="1"/>
    <col min="12812" max="12812" width="12" style="11" bestFit="1" customWidth="1"/>
    <col min="12813" max="12814" width="12" style="11" customWidth="1"/>
    <col min="12815" max="12815" width="3.85546875" style="11" bestFit="1" customWidth="1"/>
    <col min="12816" max="12816" width="11.42578125" style="11" customWidth="1"/>
    <col min="12817" max="12817" width="11.85546875" style="11" customWidth="1"/>
    <col min="12818" max="12818" width="10.5703125" style="11" customWidth="1"/>
    <col min="12819" max="12819" width="13.7109375" style="11" customWidth="1"/>
    <col min="12820" max="13056" width="9.140625" style="11"/>
    <col min="13057" max="13057" width="3.140625" style="11" customWidth="1"/>
    <col min="13058" max="13058" width="11.85546875" style="11" customWidth="1"/>
    <col min="13059" max="13059" width="3" style="11" customWidth="1"/>
    <col min="13060" max="13060" width="5.42578125" style="11" customWidth="1"/>
    <col min="13061" max="13061" width="9.7109375" style="11" customWidth="1"/>
    <col min="13062" max="13062" width="8.28515625" style="11" customWidth="1"/>
    <col min="13063" max="13063" width="13.5703125" style="11" bestFit="1" customWidth="1"/>
    <col min="13064" max="13064" width="11" style="11" customWidth="1"/>
    <col min="13065" max="13065" width="10.85546875" style="11" customWidth="1"/>
    <col min="13066" max="13066" width="9.140625" style="11"/>
    <col min="13067" max="13067" width="14.7109375" style="11" customWidth="1"/>
    <col min="13068" max="13068" width="12" style="11" bestFit="1" customWidth="1"/>
    <col min="13069" max="13070" width="12" style="11" customWidth="1"/>
    <col min="13071" max="13071" width="3.85546875" style="11" bestFit="1" customWidth="1"/>
    <col min="13072" max="13072" width="11.42578125" style="11" customWidth="1"/>
    <col min="13073" max="13073" width="11.85546875" style="11" customWidth="1"/>
    <col min="13074" max="13074" width="10.5703125" style="11" customWidth="1"/>
    <col min="13075" max="13075" width="13.7109375" style="11" customWidth="1"/>
    <col min="13076" max="13312" width="9.140625" style="11"/>
    <col min="13313" max="13313" width="3.140625" style="11" customWidth="1"/>
    <col min="13314" max="13314" width="11.85546875" style="11" customWidth="1"/>
    <col min="13315" max="13315" width="3" style="11" customWidth="1"/>
    <col min="13316" max="13316" width="5.42578125" style="11" customWidth="1"/>
    <col min="13317" max="13317" width="9.7109375" style="11" customWidth="1"/>
    <col min="13318" max="13318" width="8.28515625" style="11" customWidth="1"/>
    <col min="13319" max="13319" width="13.5703125" style="11" bestFit="1" customWidth="1"/>
    <col min="13320" max="13320" width="11" style="11" customWidth="1"/>
    <col min="13321" max="13321" width="10.85546875" style="11" customWidth="1"/>
    <col min="13322" max="13322" width="9.140625" style="11"/>
    <col min="13323" max="13323" width="14.7109375" style="11" customWidth="1"/>
    <col min="13324" max="13324" width="12" style="11" bestFit="1" customWidth="1"/>
    <col min="13325" max="13326" width="12" style="11" customWidth="1"/>
    <col min="13327" max="13327" width="3.85546875" style="11" bestFit="1" customWidth="1"/>
    <col min="13328" max="13328" width="11.42578125" style="11" customWidth="1"/>
    <col min="13329" max="13329" width="11.85546875" style="11" customWidth="1"/>
    <col min="13330" max="13330" width="10.5703125" style="11" customWidth="1"/>
    <col min="13331" max="13331" width="13.7109375" style="11" customWidth="1"/>
    <col min="13332" max="13568" width="9.140625" style="11"/>
    <col min="13569" max="13569" width="3.140625" style="11" customWidth="1"/>
    <col min="13570" max="13570" width="11.85546875" style="11" customWidth="1"/>
    <col min="13571" max="13571" width="3" style="11" customWidth="1"/>
    <col min="13572" max="13572" width="5.42578125" style="11" customWidth="1"/>
    <col min="13573" max="13573" width="9.7109375" style="11" customWidth="1"/>
    <col min="13574" max="13574" width="8.28515625" style="11" customWidth="1"/>
    <col min="13575" max="13575" width="13.5703125" style="11" bestFit="1" customWidth="1"/>
    <col min="13576" max="13576" width="11" style="11" customWidth="1"/>
    <col min="13577" max="13577" width="10.85546875" style="11" customWidth="1"/>
    <col min="13578" max="13578" width="9.140625" style="11"/>
    <col min="13579" max="13579" width="14.7109375" style="11" customWidth="1"/>
    <col min="13580" max="13580" width="12" style="11" bestFit="1" customWidth="1"/>
    <col min="13581" max="13582" width="12" style="11" customWidth="1"/>
    <col min="13583" max="13583" width="3.85546875" style="11" bestFit="1" customWidth="1"/>
    <col min="13584" max="13584" width="11.42578125" style="11" customWidth="1"/>
    <col min="13585" max="13585" width="11.85546875" style="11" customWidth="1"/>
    <col min="13586" max="13586" width="10.5703125" style="11" customWidth="1"/>
    <col min="13587" max="13587" width="13.7109375" style="11" customWidth="1"/>
    <col min="13588" max="13824" width="9.140625" style="11"/>
    <col min="13825" max="13825" width="3.140625" style="11" customWidth="1"/>
    <col min="13826" max="13826" width="11.85546875" style="11" customWidth="1"/>
    <col min="13827" max="13827" width="3" style="11" customWidth="1"/>
    <col min="13828" max="13828" width="5.42578125" style="11" customWidth="1"/>
    <col min="13829" max="13829" width="9.7109375" style="11" customWidth="1"/>
    <col min="13830" max="13830" width="8.28515625" style="11" customWidth="1"/>
    <col min="13831" max="13831" width="13.5703125" style="11" bestFit="1" customWidth="1"/>
    <col min="13832" max="13832" width="11" style="11" customWidth="1"/>
    <col min="13833" max="13833" width="10.85546875" style="11" customWidth="1"/>
    <col min="13834" max="13834" width="9.140625" style="11"/>
    <col min="13835" max="13835" width="14.7109375" style="11" customWidth="1"/>
    <col min="13836" max="13836" width="12" style="11" bestFit="1" customWidth="1"/>
    <col min="13837" max="13838" width="12" style="11" customWidth="1"/>
    <col min="13839" max="13839" width="3.85546875" style="11" bestFit="1" customWidth="1"/>
    <col min="13840" max="13840" width="11.42578125" style="11" customWidth="1"/>
    <col min="13841" max="13841" width="11.85546875" style="11" customWidth="1"/>
    <col min="13842" max="13842" width="10.5703125" style="11" customWidth="1"/>
    <col min="13843" max="13843" width="13.7109375" style="11" customWidth="1"/>
    <col min="13844" max="14080" width="9.140625" style="11"/>
    <col min="14081" max="14081" width="3.140625" style="11" customWidth="1"/>
    <col min="14082" max="14082" width="11.85546875" style="11" customWidth="1"/>
    <col min="14083" max="14083" width="3" style="11" customWidth="1"/>
    <col min="14084" max="14084" width="5.42578125" style="11" customWidth="1"/>
    <col min="14085" max="14085" width="9.7109375" style="11" customWidth="1"/>
    <col min="14086" max="14086" width="8.28515625" style="11" customWidth="1"/>
    <col min="14087" max="14087" width="13.5703125" style="11" bestFit="1" customWidth="1"/>
    <col min="14088" max="14088" width="11" style="11" customWidth="1"/>
    <col min="14089" max="14089" width="10.85546875" style="11" customWidth="1"/>
    <col min="14090" max="14090" width="9.140625" style="11"/>
    <col min="14091" max="14091" width="14.7109375" style="11" customWidth="1"/>
    <col min="14092" max="14092" width="12" style="11" bestFit="1" customWidth="1"/>
    <col min="14093" max="14094" width="12" style="11" customWidth="1"/>
    <col min="14095" max="14095" width="3.85546875" style="11" bestFit="1" customWidth="1"/>
    <col min="14096" max="14096" width="11.42578125" style="11" customWidth="1"/>
    <col min="14097" max="14097" width="11.85546875" style="11" customWidth="1"/>
    <col min="14098" max="14098" width="10.5703125" style="11" customWidth="1"/>
    <col min="14099" max="14099" width="13.7109375" style="11" customWidth="1"/>
    <col min="14100" max="14336" width="9.140625" style="11"/>
    <col min="14337" max="14337" width="3.140625" style="11" customWidth="1"/>
    <col min="14338" max="14338" width="11.85546875" style="11" customWidth="1"/>
    <col min="14339" max="14339" width="3" style="11" customWidth="1"/>
    <col min="14340" max="14340" width="5.42578125" style="11" customWidth="1"/>
    <col min="14341" max="14341" width="9.7109375" style="11" customWidth="1"/>
    <col min="14342" max="14342" width="8.28515625" style="11" customWidth="1"/>
    <col min="14343" max="14343" width="13.5703125" style="11" bestFit="1" customWidth="1"/>
    <col min="14344" max="14344" width="11" style="11" customWidth="1"/>
    <col min="14345" max="14345" width="10.85546875" style="11" customWidth="1"/>
    <col min="14346" max="14346" width="9.140625" style="11"/>
    <col min="14347" max="14347" width="14.7109375" style="11" customWidth="1"/>
    <col min="14348" max="14348" width="12" style="11" bestFit="1" customWidth="1"/>
    <col min="14349" max="14350" width="12" style="11" customWidth="1"/>
    <col min="14351" max="14351" width="3.85546875" style="11" bestFit="1" customWidth="1"/>
    <col min="14352" max="14352" width="11.42578125" style="11" customWidth="1"/>
    <col min="14353" max="14353" width="11.85546875" style="11" customWidth="1"/>
    <col min="14354" max="14354" width="10.5703125" style="11" customWidth="1"/>
    <col min="14355" max="14355" width="13.7109375" style="11" customWidth="1"/>
    <col min="14356" max="14592" width="9.140625" style="11"/>
    <col min="14593" max="14593" width="3.140625" style="11" customWidth="1"/>
    <col min="14594" max="14594" width="11.85546875" style="11" customWidth="1"/>
    <col min="14595" max="14595" width="3" style="11" customWidth="1"/>
    <col min="14596" max="14596" width="5.42578125" style="11" customWidth="1"/>
    <col min="14597" max="14597" width="9.7109375" style="11" customWidth="1"/>
    <col min="14598" max="14598" width="8.28515625" style="11" customWidth="1"/>
    <col min="14599" max="14599" width="13.5703125" style="11" bestFit="1" customWidth="1"/>
    <col min="14600" max="14600" width="11" style="11" customWidth="1"/>
    <col min="14601" max="14601" width="10.85546875" style="11" customWidth="1"/>
    <col min="14602" max="14602" width="9.140625" style="11"/>
    <col min="14603" max="14603" width="14.7109375" style="11" customWidth="1"/>
    <col min="14604" max="14604" width="12" style="11" bestFit="1" customWidth="1"/>
    <col min="14605" max="14606" width="12" style="11" customWidth="1"/>
    <col min="14607" max="14607" width="3.85546875" style="11" bestFit="1" customWidth="1"/>
    <col min="14608" max="14608" width="11.42578125" style="11" customWidth="1"/>
    <col min="14609" max="14609" width="11.85546875" style="11" customWidth="1"/>
    <col min="14610" max="14610" width="10.5703125" style="11" customWidth="1"/>
    <col min="14611" max="14611" width="13.7109375" style="11" customWidth="1"/>
    <col min="14612" max="14848" width="9.140625" style="11"/>
    <col min="14849" max="14849" width="3.140625" style="11" customWidth="1"/>
    <col min="14850" max="14850" width="11.85546875" style="11" customWidth="1"/>
    <col min="14851" max="14851" width="3" style="11" customWidth="1"/>
    <col min="14852" max="14852" width="5.42578125" style="11" customWidth="1"/>
    <col min="14853" max="14853" width="9.7109375" style="11" customWidth="1"/>
    <col min="14854" max="14854" width="8.28515625" style="11" customWidth="1"/>
    <col min="14855" max="14855" width="13.5703125" style="11" bestFit="1" customWidth="1"/>
    <col min="14856" max="14856" width="11" style="11" customWidth="1"/>
    <col min="14857" max="14857" width="10.85546875" style="11" customWidth="1"/>
    <col min="14858" max="14858" width="9.140625" style="11"/>
    <col min="14859" max="14859" width="14.7109375" style="11" customWidth="1"/>
    <col min="14860" max="14860" width="12" style="11" bestFit="1" customWidth="1"/>
    <col min="14861" max="14862" width="12" style="11" customWidth="1"/>
    <col min="14863" max="14863" width="3.85546875" style="11" bestFit="1" customWidth="1"/>
    <col min="14864" max="14864" width="11.42578125" style="11" customWidth="1"/>
    <col min="14865" max="14865" width="11.85546875" style="11" customWidth="1"/>
    <col min="14866" max="14866" width="10.5703125" style="11" customWidth="1"/>
    <col min="14867" max="14867" width="13.7109375" style="11" customWidth="1"/>
    <col min="14868" max="15104" width="9.140625" style="11"/>
    <col min="15105" max="15105" width="3.140625" style="11" customWidth="1"/>
    <col min="15106" max="15106" width="11.85546875" style="11" customWidth="1"/>
    <col min="15107" max="15107" width="3" style="11" customWidth="1"/>
    <col min="15108" max="15108" width="5.42578125" style="11" customWidth="1"/>
    <col min="15109" max="15109" width="9.7109375" style="11" customWidth="1"/>
    <col min="15110" max="15110" width="8.28515625" style="11" customWidth="1"/>
    <col min="15111" max="15111" width="13.5703125" style="11" bestFit="1" customWidth="1"/>
    <col min="15112" max="15112" width="11" style="11" customWidth="1"/>
    <col min="15113" max="15113" width="10.85546875" style="11" customWidth="1"/>
    <col min="15114" max="15114" width="9.140625" style="11"/>
    <col min="15115" max="15115" width="14.7109375" style="11" customWidth="1"/>
    <col min="15116" max="15116" width="12" style="11" bestFit="1" customWidth="1"/>
    <col min="15117" max="15118" width="12" style="11" customWidth="1"/>
    <col min="15119" max="15119" width="3.85546875" style="11" bestFit="1" customWidth="1"/>
    <col min="15120" max="15120" width="11.42578125" style="11" customWidth="1"/>
    <col min="15121" max="15121" width="11.85546875" style="11" customWidth="1"/>
    <col min="15122" max="15122" width="10.5703125" style="11" customWidth="1"/>
    <col min="15123" max="15123" width="13.7109375" style="11" customWidth="1"/>
    <col min="15124" max="15360" width="9.140625" style="11"/>
    <col min="15361" max="15361" width="3.140625" style="11" customWidth="1"/>
    <col min="15362" max="15362" width="11.85546875" style="11" customWidth="1"/>
    <col min="15363" max="15363" width="3" style="11" customWidth="1"/>
    <col min="15364" max="15364" width="5.42578125" style="11" customWidth="1"/>
    <col min="15365" max="15365" width="9.7109375" style="11" customWidth="1"/>
    <col min="15366" max="15366" width="8.28515625" style="11" customWidth="1"/>
    <col min="15367" max="15367" width="13.5703125" style="11" bestFit="1" customWidth="1"/>
    <col min="15368" max="15368" width="11" style="11" customWidth="1"/>
    <col min="15369" max="15369" width="10.85546875" style="11" customWidth="1"/>
    <col min="15370" max="15370" width="9.140625" style="11"/>
    <col min="15371" max="15371" width="14.7109375" style="11" customWidth="1"/>
    <col min="15372" max="15372" width="12" style="11" bestFit="1" customWidth="1"/>
    <col min="15373" max="15374" width="12" style="11" customWidth="1"/>
    <col min="15375" max="15375" width="3.85546875" style="11" bestFit="1" customWidth="1"/>
    <col min="15376" max="15376" width="11.42578125" style="11" customWidth="1"/>
    <col min="15377" max="15377" width="11.85546875" style="11" customWidth="1"/>
    <col min="15378" max="15378" width="10.5703125" style="11" customWidth="1"/>
    <col min="15379" max="15379" width="13.7109375" style="11" customWidth="1"/>
    <col min="15380" max="15616" width="9.140625" style="11"/>
    <col min="15617" max="15617" width="3.140625" style="11" customWidth="1"/>
    <col min="15618" max="15618" width="11.85546875" style="11" customWidth="1"/>
    <col min="15619" max="15619" width="3" style="11" customWidth="1"/>
    <col min="15620" max="15620" width="5.42578125" style="11" customWidth="1"/>
    <col min="15621" max="15621" width="9.7109375" style="11" customWidth="1"/>
    <col min="15622" max="15622" width="8.28515625" style="11" customWidth="1"/>
    <col min="15623" max="15623" width="13.5703125" style="11" bestFit="1" customWidth="1"/>
    <col min="15624" max="15624" width="11" style="11" customWidth="1"/>
    <col min="15625" max="15625" width="10.85546875" style="11" customWidth="1"/>
    <col min="15626" max="15626" width="9.140625" style="11"/>
    <col min="15627" max="15627" width="14.7109375" style="11" customWidth="1"/>
    <col min="15628" max="15628" width="12" style="11" bestFit="1" customWidth="1"/>
    <col min="15629" max="15630" width="12" style="11" customWidth="1"/>
    <col min="15631" max="15631" width="3.85546875" style="11" bestFit="1" customWidth="1"/>
    <col min="15632" max="15632" width="11.42578125" style="11" customWidth="1"/>
    <col min="15633" max="15633" width="11.85546875" style="11" customWidth="1"/>
    <col min="15634" max="15634" width="10.5703125" style="11" customWidth="1"/>
    <col min="15635" max="15635" width="13.7109375" style="11" customWidth="1"/>
    <col min="15636" max="15872" width="9.140625" style="11"/>
    <col min="15873" max="15873" width="3.140625" style="11" customWidth="1"/>
    <col min="15874" max="15874" width="11.85546875" style="11" customWidth="1"/>
    <col min="15875" max="15875" width="3" style="11" customWidth="1"/>
    <col min="15876" max="15876" width="5.42578125" style="11" customWidth="1"/>
    <col min="15877" max="15877" width="9.7109375" style="11" customWidth="1"/>
    <col min="15878" max="15878" width="8.28515625" style="11" customWidth="1"/>
    <col min="15879" max="15879" width="13.5703125" style="11" bestFit="1" customWidth="1"/>
    <col min="15880" max="15880" width="11" style="11" customWidth="1"/>
    <col min="15881" max="15881" width="10.85546875" style="11" customWidth="1"/>
    <col min="15882" max="15882" width="9.140625" style="11"/>
    <col min="15883" max="15883" width="14.7109375" style="11" customWidth="1"/>
    <col min="15884" max="15884" width="12" style="11" bestFit="1" customWidth="1"/>
    <col min="15885" max="15886" width="12" style="11" customWidth="1"/>
    <col min="15887" max="15887" width="3.85546875" style="11" bestFit="1" customWidth="1"/>
    <col min="15888" max="15888" width="11.42578125" style="11" customWidth="1"/>
    <col min="15889" max="15889" width="11.85546875" style="11" customWidth="1"/>
    <col min="15890" max="15890" width="10.5703125" style="11" customWidth="1"/>
    <col min="15891" max="15891" width="13.7109375" style="11" customWidth="1"/>
    <col min="15892" max="16128" width="9.140625" style="11"/>
    <col min="16129" max="16129" width="3.140625" style="11" customWidth="1"/>
    <col min="16130" max="16130" width="11.85546875" style="11" customWidth="1"/>
    <col min="16131" max="16131" width="3" style="11" customWidth="1"/>
    <col min="16132" max="16132" width="5.42578125" style="11" customWidth="1"/>
    <col min="16133" max="16133" width="9.7109375" style="11" customWidth="1"/>
    <col min="16134" max="16134" width="8.28515625" style="11" customWidth="1"/>
    <col min="16135" max="16135" width="13.5703125" style="11" bestFit="1" customWidth="1"/>
    <col min="16136" max="16136" width="11" style="11" customWidth="1"/>
    <col min="16137" max="16137" width="10.85546875" style="11" customWidth="1"/>
    <col min="16138" max="16138" width="9.140625" style="11"/>
    <col min="16139" max="16139" width="14.7109375" style="11" customWidth="1"/>
    <col min="16140" max="16140" width="12" style="11" bestFit="1" customWidth="1"/>
    <col min="16141" max="16142" width="12" style="11" customWidth="1"/>
    <col min="16143" max="16143" width="3.85546875" style="11" bestFit="1" customWidth="1"/>
    <col min="16144" max="16144" width="11.42578125" style="11" customWidth="1"/>
    <col min="16145" max="16145" width="11.85546875" style="11" customWidth="1"/>
    <col min="16146" max="16146" width="10.5703125" style="11" customWidth="1"/>
    <col min="16147" max="16147" width="13.7109375" style="11" customWidth="1"/>
    <col min="16148" max="16384" width="9.140625" style="11"/>
  </cols>
  <sheetData>
    <row r="1" spans="1:19" x14ac:dyDescent="0.2">
      <c r="A1" s="62"/>
      <c r="B1" s="62"/>
      <c r="C1" s="62"/>
      <c r="D1" s="62"/>
      <c r="E1" s="62"/>
      <c r="F1" s="62"/>
      <c r="G1" s="62"/>
      <c r="H1" s="63" t="s">
        <v>172</v>
      </c>
      <c r="I1" s="64"/>
      <c r="J1" s="62"/>
      <c r="K1" s="62"/>
      <c r="L1" s="62"/>
      <c r="M1" s="64"/>
      <c r="N1" s="65"/>
      <c r="O1" s="66"/>
      <c r="P1" s="66"/>
      <c r="Q1" s="67"/>
      <c r="R1" s="67"/>
      <c r="S1" s="67"/>
    </row>
    <row r="2" spans="1:19" ht="12" thickBot="1" x14ac:dyDescent="0.25">
      <c r="A2" s="68" t="s">
        <v>132</v>
      </c>
      <c r="B2" s="69"/>
      <c r="C2" s="427">
        <f>'Page 1'!A8</f>
        <v>0</v>
      </c>
      <c r="D2" s="427"/>
      <c r="E2" s="427"/>
      <c r="F2" s="428"/>
      <c r="G2" s="62"/>
      <c r="H2" s="62"/>
      <c r="I2" s="70"/>
      <c r="J2" s="62"/>
      <c r="K2" s="62"/>
      <c r="L2" s="62"/>
      <c r="M2" s="70"/>
      <c r="N2" s="65"/>
      <c r="O2" s="66"/>
      <c r="P2" s="66"/>
      <c r="Q2" s="67"/>
      <c r="R2" s="67"/>
      <c r="S2" s="67"/>
    </row>
    <row r="3" spans="1:19" x14ac:dyDescent="0.2">
      <c r="A3" s="71" t="s">
        <v>133</v>
      </c>
      <c r="B3" s="72"/>
      <c r="C3" s="72"/>
      <c r="D3" s="72"/>
      <c r="E3" s="72"/>
      <c r="F3" s="72"/>
      <c r="G3" s="72"/>
      <c r="H3" s="72"/>
      <c r="I3" s="73"/>
      <c r="J3" s="72"/>
      <c r="K3" s="72"/>
      <c r="L3" s="72"/>
      <c r="M3" s="73"/>
      <c r="N3" s="417"/>
      <c r="O3" s="417"/>
      <c r="P3" s="417"/>
      <c r="Q3" s="417"/>
      <c r="R3" s="418"/>
      <c r="S3" s="419" t="s">
        <v>173</v>
      </c>
    </row>
    <row r="4" spans="1:19" x14ac:dyDescent="0.2">
      <c r="A4" s="74" t="s">
        <v>174</v>
      </c>
      <c r="B4" s="75"/>
      <c r="C4" s="75"/>
      <c r="D4" s="75"/>
      <c r="E4" s="75"/>
      <c r="F4" s="75"/>
      <c r="G4" s="75"/>
      <c r="H4" s="75"/>
      <c r="I4" s="76"/>
      <c r="J4" s="75"/>
      <c r="K4" s="75"/>
      <c r="L4" s="75"/>
      <c r="M4" s="76"/>
      <c r="N4" s="76"/>
      <c r="O4" s="77"/>
      <c r="P4" s="77"/>
      <c r="Q4" s="75"/>
      <c r="R4" s="78"/>
      <c r="S4" s="420"/>
    </row>
    <row r="5" spans="1:19" x14ac:dyDescent="0.2">
      <c r="A5" s="414" t="s">
        <v>94</v>
      </c>
      <c r="B5" s="415"/>
      <c r="C5" s="415"/>
      <c r="D5" s="416"/>
      <c r="E5" s="79" t="s">
        <v>134</v>
      </c>
      <c r="F5" s="79" t="s">
        <v>135</v>
      </c>
      <c r="G5" s="79" t="s">
        <v>136</v>
      </c>
      <c r="H5" s="79" t="s">
        <v>137</v>
      </c>
      <c r="I5" s="80" t="s">
        <v>138</v>
      </c>
      <c r="J5" s="79" t="s">
        <v>129</v>
      </c>
      <c r="K5" s="79" t="s">
        <v>139</v>
      </c>
      <c r="L5" s="79" t="s">
        <v>140</v>
      </c>
      <c r="M5" s="80" t="s">
        <v>179</v>
      </c>
      <c r="N5" s="80" t="s">
        <v>138</v>
      </c>
      <c r="O5" s="422" t="s">
        <v>175</v>
      </c>
      <c r="P5" s="423"/>
      <c r="Q5" s="79" t="s">
        <v>179</v>
      </c>
      <c r="R5" s="81" t="s">
        <v>204</v>
      </c>
      <c r="S5" s="420"/>
    </row>
    <row r="6" spans="1:19" ht="12" thickBot="1" x14ac:dyDescent="0.25">
      <c r="A6" s="429" t="s">
        <v>141</v>
      </c>
      <c r="B6" s="430"/>
      <c r="C6" s="430"/>
      <c r="D6" s="431"/>
      <c r="E6" s="82" t="s">
        <v>142</v>
      </c>
      <c r="F6" s="82" t="s">
        <v>143</v>
      </c>
      <c r="G6" s="82" t="s">
        <v>74</v>
      </c>
      <c r="H6" s="82" t="s">
        <v>144</v>
      </c>
      <c r="I6" s="83" t="s">
        <v>145</v>
      </c>
      <c r="J6" s="82" t="s">
        <v>146</v>
      </c>
      <c r="K6" s="82" t="s">
        <v>147</v>
      </c>
      <c r="L6" s="82" t="s">
        <v>148</v>
      </c>
      <c r="M6" s="83" t="s">
        <v>149</v>
      </c>
      <c r="N6" s="83" t="s">
        <v>203</v>
      </c>
      <c r="O6" s="424" t="s">
        <v>176</v>
      </c>
      <c r="P6" s="425"/>
      <c r="Q6" s="82" t="s">
        <v>176</v>
      </c>
      <c r="R6" s="84" t="s">
        <v>180</v>
      </c>
      <c r="S6" s="421"/>
    </row>
    <row r="7" spans="1:19" x14ac:dyDescent="0.2">
      <c r="A7" s="395"/>
      <c r="B7" s="396"/>
      <c r="C7" s="396"/>
      <c r="D7" s="397"/>
      <c r="E7" s="398"/>
      <c r="F7" s="401">
        <v>1</v>
      </c>
      <c r="G7" s="85" t="s">
        <v>150</v>
      </c>
      <c r="H7" s="404">
        <v>200000</v>
      </c>
      <c r="I7" s="86" t="s">
        <v>151</v>
      </c>
      <c r="J7" s="426"/>
      <c r="K7" s="407"/>
      <c r="L7" s="407"/>
      <c r="M7" s="408">
        <v>100</v>
      </c>
      <c r="N7" s="408">
        <v>1</v>
      </c>
      <c r="O7" s="376" t="s">
        <v>177</v>
      </c>
      <c r="P7" s="378">
        <v>1</v>
      </c>
      <c r="Q7" s="380">
        <v>3</v>
      </c>
      <c r="R7" s="380">
        <f>SUM(M7)-N7-N9-Q7</f>
        <v>96</v>
      </c>
      <c r="S7" s="383"/>
    </row>
    <row r="8" spans="1:19" x14ac:dyDescent="0.2">
      <c r="A8" s="386"/>
      <c r="B8" s="387"/>
      <c r="C8" s="387"/>
      <c r="D8" s="388"/>
      <c r="E8" s="399"/>
      <c r="F8" s="402"/>
      <c r="G8" s="153"/>
      <c r="H8" s="405"/>
      <c r="I8" s="156">
        <v>0</v>
      </c>
      <c r="J8" s="389"/>
      <c r="K8" s="389"/>
      <c r="L8" s="389"/>
      <c r="M8" s="409"/>
      <c r="N8" s="409"/>
      <c r="O8" s="377"/>
      <c r="P8" s="379"/>
      <c r="Q8" s="381"/>
      <c r="R8" s="381"/>
      <c r="S8" s="384"/>
    </row>
    <row r="9" spans="1:19" x14ac:dyDescent="0.2">
      <c r="A9" s="87"/>
      <c r="B9" s="7" t="s">
        <v>201</v>
      </c>
      <c r="C9" s="149"/>
      <c r="D9" s="7" t="s">
        <v>152</v>
      </c>
      <c r="E9" s="399"/>
      <c r="F9" s="402"/>
      <c r="G9" s="88" t="s">
        <v>153</v>
      </c>
      <c r="H9" s="405"/>
      <c r="I9" s="89" t="s">
        <v>154</v>
      </c>
      <c r="J9" s="389"/>
      <c r="K9" s="389"/>
      <c r="L9" s="389"/>
      <c r="M9" s="409"/>
      <c r="N9" s="391"/>
      <c r="O9" s="377" t="s">
        <v>178</v>
      </c>
      <c r="P9" s="379">
        <v>2</v>
      </c>
      <c r="Q9" s="381"/>
      <c r="R9" s="381"/>
      <c r="S9" s="384"/>
    </row>
    <row r="10" spans="1:19" ht="12" thickBot="1" x14ac:dyDescent="0.25">
      <c r="A10" s="90"/>
      <c r="B10" s="8" t="s">
        <v>202</v>
      </c>
      <c r="C10" s="150"/>
      <c r="D10" s="8" t="s">
        <v>155</v>
      </c>
      <c r="E10" s="400"/>
      <c r="F10" s="403"/>
      <c r="G10" s="154"/>
      <c r="H10" s="406"/>
      <c r="I10" s="157">
        <v>0</v>
      </c>
      <c r="J10" s="390"/>
      <c r="K10" s="390"/>
      <c r="L10" s="390"/>
      <c r="M10" s="410"/>
      <c r="N10" s="392"/>
      <c r="O10" s="393"/>
      <c r="P10" s="394"/>
      <c r="Q10" s="382"/>
      <c r="R10" s="382"/>
      <c r="S10" s="385"/>
    </row>
    <row r="11" spans="1:19" x14ac:dyDescent="0.2">
      <c r="A11" s="395"/>
      <c r="B11" s="396"/>
      <c r="C11" s="396"/>
      <c r="D11" s="397"/>
      <c r="E11" s="398"/>
      <c r="F11" s="401">
        <v>1</v>
      </c>
      <c r="G11" s="85" t="s">
        <v>150</v>
      </c>
      <c r="H11" s="404"/>
      <c r="I11" s="86" t="s">
        <v>151</v>
      </c>
      <c r="J11" s="426"/>
      <c r="K11" s="407"/>
      <c r="L11" s="407"/>
      <c r="M11" s="408">
        <v>5</v>
      </c>
      <c r="N11" s="408">
        <v>1</v>
      </c>
      <c r="O11" s="376" t="s">
        <v>177</v>
      </c>
      <c r="P11" s="378">
        <v>1</v>
      </c>
      <c r="Q11" s="380">
        <v>0</v>
      </c>
      <c r="R11" s="380">
        <f t="shared" ref="R11" si="0">SUM(M11)-N11-N13-Q11</f>
        <v>4</v>
      </c>
      <c r="S11" s="383"/>
    </row>
    <row r="12" spans="1:19" x14ac:dyDescent="0.2">
      <c r="A12" s="386"/>
      <c r="B12" s="387"/>
      <c r="C12" s="387"/>
      <c r="D12" s="388"/>
      <c r="E12" s="399"/>
      <c r="F12" s="402"/>
      <c r="G12" s="155"/>
      <c r="H12" s="405"/>
      <c r="I12" s="156">
        <v>0</v>
      </c>
      <c r="J12" s="389"/>
      <c r="K12" s="389"/>
      <c r="L12" s="389"/>
      <c r="M12" s="409"/>
      <c r="N12" s="409"/>
      <c r="O12" s="377"/>
      <c r="P12" s="379"/>
      <c r="Q12" s="381"/>
      <c r="R12" s="381"/>
      <c r="S12" s="384"/>
    </row>
    <row r="13" spans="1:19" x14ac:dyDescent="0.2">
      <c r="A13" s="151"/>
      <c r="B13" s="7" t="s">
        <v>201</v>
      </c>
      <c r="C13" s="149"/>
      <c r="D13" s="7" t="s">
        <v>152</v>
      </c>
      <c r="E13" s="399"/>
      <c r="F13" s="402"/>
      <c r="G13" s="88" t="s">
        <v>153</v>
      </c>
      <c r="H13" s="405"/>
      <c r="I13" s="89" t="s">
        <v>154</v>
      </c>
      <c r="J13" s="389"/>
      <c r="K13" s="389"/>
      <c r="L13" s="389"/>
      <c r="M13" s="409"/>
      <c r="N13" s="391"/>
      <c r="O13" s="377" t="s">
        <v>178</v>
      </c>
      <c r="P13" s="379">
        <v>2</v>
      </c>
      <c r="Q13" s="381"/>
      <c r="R13" s="381"/>
      <c r="S13" s="384"/>
    </row>
    <row r="14" spans="1:19" ht="12" thickBot="1" x14ac:dyDescent="0.25">
      <c r="A14" s="152"/>
      <c r="B14" s="8" t="s">
        <v>202</v>
      </c>
      <c r="C14" s="150"/>
      <c r="D14" s="8" t="s">
        <v>155</v>
      </c>
      <c r="E14" s="400"/>
      <c r="F14" s="403"/>
      <c r="G14" s="154"/>
      <c r="H14" s="406"/>
      <c r="I14" s="157">
        <v>0</v>
      </c>
      <c r="J14" s="390"/>
      <c r="K14" s="390"/>
      <c r="L14" s="390"/>
      <c r="M14" s="410"/>
      <c r="N14" s="392"/>
      <c r="O14" s="393"/>
      <c r="P14" s="394"/>
      <c r="Q14" s="382"/>
      <c r="R14" s="382"/>
      <c r="S14" s="385"/>
    </row>
    <row r="15" spans="1:19" x14ac:dyDescent="0.2">
      <c r="A15" s="395"/>
      <c r="B15" s="396"/>
      <c r="C15" s="396"/>
      <c r="D15" s="397"/>
      <c r="E15" s="398"/>
      <c r="F15" s="401">
        <v>1</v>
      </c>
      <c r="G15" s="85" t="s">
        <v>150</v>
      </c>
      <c r="H15" s="404"/>
      <c r="I15" s="86" t="s">
        <v>151</v>
      </c>
      <c r="J15" s="407"/>
      <c r="K15" s="407"/>
      <c r="L15" s="407"/>
      <c r="M15" s="408">
        <v>10</v>
      </c>
      <c r="N15" s="408">
        <v>1</v>
      </c>
      <c r="O15" s="376" t="s">
        <v>177</v>
      </c>
      <c r="P15" s="378">
        <v>1</v>
      </c>
      <c r="Q15" s="380">
        <v>0</v>
      </c>
      <c r="R15" s="380">
        <f t="shared" ref="R15" si="1">SUM(M15)-N15-N17-Q15</f>
        <v>9</v>
      </c>
      <c r="S15" s="383"/>
    </row>
    <row r="16" spans="1:19" x14ac:dyDescent="0.2">
      <c r="A16" s="386"/>
      <c r="B16" s="387"/>
      <c r="C16" s="387"/>
      <c r="D16" s="388"/>
      <c r="E16" s="399"/>
      <c r="F16" s="402"/>
      <c r="G16" s="155"/>
      <c r="H16" s="405"/>
      <c r="I16" s="156">
        <v>0</v>
      </c>
      <c r="J16" s="389"/>
      <c r="K16" s="389"/>
      <c r="L16" s="389"/>
      <c r="M16" s="409"/>
      <c r="N16" s="409"/>
      <c r="O16" s="377"/>
      <c r="P16" s="379"/>
      <c r="Q16" s="381"/>
      <c r="R16" s="381"/>
      <c r="S16" s="384"/>
    </row>
    <row r="17" spans="1:19" x14ac:dyDescent="0.2">
      <c r="A17" s="151"/>
      <c r="B17" s="7" t="s">
        <v>201</v>
      </c>
      <c r="C17" s="149"/>
      <c r="D17" s="7" t="s">
        <v>152</v>
      </c>
      <c r="E17" s="399"/>
      <c r="F17" s="402"/>
      <c r="G17" s="88" t="s">
        <v>153</v>
      </c>
      <c r="H17" s="405"/>
      <c r="I17" s="89" t="s">
        <v>154</v>
      </c>
      <c r="J17" s="389"/>
      <c r="K17" s="389"/>
      <c r="L17" s="389"/>
      <c r="M17" s="409"/>
      <c r="N17" s="391"/>
      <c r="O17" s="377" t="s">
        <v>178</v>
      </c>
      <c r="P17" s="379">
        <v>2</v>
      </c>
      <c r="Q17" s="381"/>
      <c r="R17" s="381"/>
      <c r="S17" s="384"/>
    </row>
    <row r="18" spans="1:19" ht="12" thickBot="1" x14ac:dyDescent="0.25">
      <c r="A18" s="152"/>
      <c r="B18" s="8" t="s">
        <v>202</v>
      </c>
      <c r="C18" s="150"/>
      <c r="D18" s="8" t="s">
        <v>155</v>
      </c>
      <c r="E18" s="400"/>
      <c r="F18" s="403"/>
      <c r="G18" s="154"/>
      <c r="H18" s="406"/>
      <c r="I18" s="157">
        <v>0</v>
      </c>
      <c r="J18" s="390"/>
      <c r="K18" s="390"/>
      <c r="L18" s="390"/>
      <c r="M18" s="410"/>
      <c r="N18" s="392"/>
      <c r="O18" s="393"/>
      <c r="P18" s="394"/>
      <c r="Q18" s="382"/>
      <c r="R18" s="382"/>
      <c r="S18" s="385"/>
    </row>
    <row r="19" spans="1:19" x14ac:dyDescent="0.2">
      <c r="A19" s="395"/>
      <c r="B19" s="396"/>
      <c r="C19" s="396"/>
      <c r="D19" s="397"/>
      <c r="E19" s="398"/>
      <c r="F19" s="401">
        <v>1</v>
      </c>
      <c r="G19" s="85" t="s">
        <v>150</v>
      </c>
      <c r="H19" s="404"/>
      <c r="I19" s="86" t="s">
        <v>151</v>
      </c>
      <c r="J19" s="407"/>
      <c r="K19" s="407"/>
      <c r="L19" s="407"/>
      <c r="M19" s="408">
        <v>500</v>
      </c>
      <c r="N19" s="408">
        <v>1</v>
      </c>
      <c r="O19" s="376" t="s">
        <v>177</v>
      </c>
      <c r="P19" s="378">
        <v>1</v>
      </c>
      <c r="Q19" s="380">
        <v>0</v>
      </c>
      <c r="R19" s="380">
        <f t="shared" ref="R19" si="2">SUM(M19)-N19-N21-Q19</f>
        <v>499</v>
      </c>
      <c r="S19" s="383"/>
    </row>
    <row r="20" spans="1:19" x14ac:dyDescent="0.2">
      <c r="A20" s="386"/>
      <c r="B20" s="387"/>
      <c r="C20" s="387"/>
      <c r="D20" s="388"/>
      <c r="E20" s="399"/>
      <c r="F20" s="402"/>
      <c r="G20" s="155"/>
      <c r="H20" s="405"/>
      <c r="I20" s="156">
        <v>0</v>
      </c>
      <c r="J20" s="389"/>
      <c r="K20" s="389"/>
      <c r="L20" s="389"/>
      <c r="M20" s="409"/>
      <c r="N20" s="409"/>
      <c r="O20" s="377"/>
      <c r="P20" s="379"/>
      <c r="Q20" s="381"/>
      <c r="R20" s="381"/>
      <c r="S20" s="384"/>
    </row>
    <row r="21" spans="1:19" x14ac:dyDescent="0.2">
      <c r="A21" s="151"/>
      <c r="B21" s="7" t="s">
        <v>201</v>
      </c>
      <c r="C21" s="149"/>
      <c r="D21" s="7" t="s">
        <v>152</v>
      </c>
      <c r="E21" s="399"/>
      <c r="F21" s="402"/>
      <c r="G21" s="88" t="s">
        <v>153</v>
      </c>
      <c r="H21" s="405"/>
      <c r="I21" s="89" t="s">
        <v>154</v>
      </c>
      <c r="J21" s="389"/>
      <c r="K21" s="389"/>
      <c r="L21" s="389"/>
      <c r="M21" s="409"/>
      <c r="N21" s="391"/>
      <c r="O21" s="377" t="s">
        <v>178</v>
      </c>
      <c r="P21" s="379">
        <v>2</v>
      </c>
      <c r="Q21" s="381"/>
      <c r="R21" s="381"/>
      <c r="S21" s="384"/>
    </row>
    <row r="22" spans="1:19" ht="12" thickBot="1" x14ac:dyDescent="0.25">
      <c r="A22" s="152"/>
      <c r="B22" s="8" t="s">
        <v>202</v>
      </c>
      <c r="C22" s="150"/>
      <c r="D22" s="8" t="s">
        <v>155</v>
      </c>
      <c r="E22" s="400"/>
      <c r="F22" s="403"/>
      <c r="G22" s="154"/>
      <c r="H22" s="406"/>
      <c r="I22" s="157">
        <v>0</v>
      </c>
      <c r="J22" s="390"/>
      <c r="K22" s="390"/>
      <c r="L22" s="390"/>
      <c r="M22" s="410"/>
      <c r="N22" s="392"/>
      <c r="O22" s="393"/>
      <c r="P22" s="394"/>
      <c r="Q22" s="382"/>
      <c r="R22" s="382"/>
      <c r="S22" s="385"/>
    </row>
    <row r="23" spans="1:19" x14ac:dyDescent="0.2">
      <c r="A23" s="395"/>
      <c r="B23" s="396"/>
      <c r="C23" s="396"/>
      <c r="D23" s="397"/>
      <c r="E23" s="398"/>
      <c r="F23" s="401">
        <v>1</v>
      </c>
      <c r="G23" s="85" t="s">
        <v>150</v>
      </c>
      <c r="H23" s="404"/>
      <c r="I23" s="86" t="s">
        <v>151</v>
      </c>
      <c r="J23" s="407"/>
      <c r="K23" s="407"/>
      <c r="L23" s="407"/>
      <c r="M23" s="408">
        <v>10</v>
      </c>
      <c r="N23" s="408">
        <v>1</v>
      </c>
      <c r="O23" s="376" t="s">
        <v>177</v>
      </c>
      <c r="P23" s="378">
        <v>1</v>
      </c>
      <c r="Q23" s="380">
        <v>0</v>
      </c>
      <c r="R23" s="380">
        <f t="shared" ref="R23" si="3">SUM(M23)-N23-N25-Q23</f>
        <v>9</v>
      </c>
      <c r="S23" s="383"/>
    </row>
    <row r="24" spans="1:19" x14ac:dyDescent="0.2">
      <c r="A24" s="386"/>
      <c r="B24" s="387"/>
      <c r="C24" s="387"/>
      <c r="D24" s="388"/>
      <c r="E24" s="399"/>
      <c r="F24" s="402"/>
      <c r="G24" s="155"/>
      <c r="H24" s="405"/>
      <c r="I24" s="156">
        <v>0</v>
      </c>
      <c r="J24" s="389"/>
      <c r="K24" s="389"/>
      <c r="L24" s="389"/>
      <c r="M24" s="409"/>
      <c r="N24" s="409"/>
      <c r="O24" s="377"/>
      <c r="P24" s="379"/>
      <c r="Q24" s="381"/>
      <c r="R24" s="381"/>
      <c r="S24" s="384"/>
    </row>
    <row r="25" spans="1:19" x14ac:dyDescent="0.2">
      <c r="A25" s="151"/>
      <c r="B25" s="7" t="s">
        <v>201</v>
      </c>
      <c r="C25" s="149"/>
      <c r="D25" s="7" t="s">
        <v>152</v>
      </c>
      <c r="E25" s="399"/>
      <c r="F25" s="402"/>
      <c r="G25" s="88" t="s">
        <v>153</v>
      </c>
      <c r="H25" s="405"/>
      <c r="I25" s="89" t="s">
        <v>154</v>
      </c>
      <c r="J25" s="389"/>
      <c r="K25" s="389"/>
      <c r="L25" s="389"/>
      <c r="M25" s="409"/>
      <c r="N25" s="391"/>
      <c r="O25" s="377" t="s">
        <v>178</v>
      </c>
      <c r="P25" s="379">
        <v>2</v>
      </c>
      <c r="Q25" s="381"/>
      <c r="R25" s="381"/>
      <c r="S25" s="384"/>
    </row>
    <row r="26" spans="1:19" ht="12" thickBot="1" x14ac:dyDescent="0.25">
      <c r="A26" s="152"/>
      <c r="B26" s="8" t="s">
        <v>202</v>
      </c>
      <c r="C26" s="150"/>
      <c r="D26" s="8" t="s">
        <v>155</v>
      </c>
      <c r="E26" s="400"/>
      <c r="F26" s="403"/>
      <c r="G26" s="154"/>
      <c r="H26" s="406"/>
      <c r="I26" s="157">
        <v>0</v>
      </c>
      <c r="J26" s="390"/>
      <c r="K26" s="390"/>
      <c r="L26" s="390"/>
      <c r="M26" s="410"/>
      <c r="N26" s="392"/>
      <c r="O26" s="393"/>
      <c r="P26" s="394"/>
      <c r="Q26" s="382"/>
      <c r="R26" s="382"/>
      <c r="S26" s="385"/>
    </row>
    <row r="27" spans="1:19" x14ac:dyDescent="0.2">
      <c r="A27" s="395"/>
      <c r="B27" s="396"/>
      <c r="C27" s="396"/>
      <c r="D27" s="397"/>
      <c r="E27" s="398"/>
      <c r="F27" s="401">
        <v>1</v>
      </c>
      <c r="G27" s="85" t="s">
        <v>150</v>
      </c>
      <c r="H27" s="411"/>
      <c r="I27" s="86" t="s">
        <v>151</v>
      </c>
      <c r="J27" s="407"/>
      <c r="K27" s="407"/>
      <c r="L27" s="407"/>
      <c r="M27" s="408">
        <v>10</v>
      </c>
      <c r="N27" s="408">
        <v>1</v>
      </c>
      <c r="O27" s="376" t="s">
        <v>177</v>
      </c>
      <c r="P27" s="378">
        <v>1</v>
      </c>
      <c r="Q27" s="380">
        <v>0</v>
      </c>
      <c r="R27" s="380">
        <f t="shared" ref="R27" si="4">SUM(M27)-N27-N29-Q27</f>
        <v>9</v>
      </c>
      <c r="S27" s="383"/>
    </row>
    <row r="28" spans="1:19" x14ac:dyDescent="0.2">
      <c r="A28" s="386"/>
      <c r="B28" s="387"/>
      <c r="C28" s="387"/>
      <c r="D28" s="388"/>
      <c r="E28" s="399"/>
      <c r="F28" s="402"/>
      <c r="G28" s="155"/>
      <c r="H28" s="412"/>
      <c r="I28" s="156">
        <v>0</v>
      </c>
      <c r="J28" s="389"/>
      <c r="K28" s="389"/>
      <c r="L28" s="389"/>
      <c r="M28" s="409"/>
      <c r="N28" s="409"/>
      <c r="O28" s="377"/>
      <c r="P28" s="379"/>
      <c r="Q28" s="381"/>
      <c r="R28" s="381"/>
      <c r="S28" s="384"/>
    </row>
    <row r="29" spans="1:19" x14ac:dyDescent="0.2">
      <c r="A29" s="151"/>
      <c r="B29" s="7" t="s">
        <v>201</v>
      </c>
      <c r="C29" s="149"/>
      <c r="D29" s="7" t="s">
        <v>152</v>
      </c>
      <c r="E29" s="399"/>
      <c r="F29" s="402"/>
      <c r="G29" s="88" t="s">
        <v>153</v>
      </c>
      <c r="H29" s="412"/>
      <c r="I29" s="89" t="s">
        <v>154</v>
      </c>
      <c r="J29" s="389"/>
      <c r="K29" s="389"/>
      <c r="L29" s="389"/>
      <c r="M29" s="409"/>
      <c r="N29" s="391"/>
      <c r="O29" s="377" t="s">
        <v>178</v>
      </c>
      <c r="P29" s="379">
        <v>2</v>
      </c>
      <c r="Q29" s="381"/>
      <c r="R29" s="381"/>
      <c r="S29" s="384"/>
    </row>
    <row r="30" spans="1:19" ht="12" thickBot="1" x14ac:dyDescent="0.25">
      <c r="A30" s="152"/>
      <c r="B30" s="8" t="s">
        <v>202</v>
      </c>
      <c r="C30" s="150"/>
      <c r="D30" s="8" t="s">
        <v>155</v>
      </c>
      <c r="E30" s="400"/>
      <c r="F30" s="403"/>
      <c r="G30" s="154"/>
      <c r="H30" s="413"/>
      <c r="I30" s="157">
        <v>0</v>
      </c>
      <c r="J30" s="390"/>
      <c r="K30" s="390"/>
      <c r="L30" s="390"/>
      <c r="M30" s="410"/>
      <c r="N30" s="392"/>
      <c r="O30" s="393"/>
      <c r="P30" s="394"/>
      <c r="Q30" s="382"/>
      <c r="R30" s="382"/>
      <c r="S30" s="385"/>
    </row>
    <row r="31" spans="1:19" x14ac:dyDescent="0.2">
      <c r="A31" s="395"/>
      <c r="B31" s="396"/>
      <c r="C31" s="396"/>
      <c r="D31" s="397"/>
      <c r="E31" s="398"/>
      <c r="F31" s="401">
        <v>1</v>
      </c>
      <c r="G31" s="85" t="s">
        <v>150</v>
      </c>
      <c r="H31" s="404"/>
      <c r="I31" s="86" t="s">
        <v>151</v>
      </c>
      <c r="J31" s="407"/>
      <c r="K31" s="407"/>
      <c r="L31" s="407"/>
      <c r="M31" s="408">
        <v>10</v>
      </c>
      <c r="N31" s="408">
        <v>1</v>
      </c>
      <c r="O31" s="376" t="s">
        <v>177</v>
      </c>
      <c r="P31" s="378">
        <v>1</v>
      </c>
      <c r="Q31" s="380">
        <v>0</v>
      </c>
      <c r="R31" s="380">
        <f t="shared" ref="R31" si="5">SUM(M31)-N31-N33-Q31</f>
        <v>9</v>
      </c>
      <c r="S31" s="383"/>
    </row>
    <row r="32" spans="1:19" x14ac:dyDescent="0.2">
      <c r="A32" s="386"/>
      <c r="B32" s="387"/>
      <c r="C32" s="387"/>
      <c r="D32" s="388"/>
      <c r="E32" s="399"/>
      <c r="F32" s="402"/>
      <c r="G32" s="155"/>
      <c r="H32" s="405"/>
      <c r="I32" s="156">
        <v>0</v>
      </c>
      <c r="J32" s="389"/>
      <c r="K32" s="389"/>
      <c r="L32" s="389"/>
      <c r="M32" s="409"/>
      <c r="N32" s="409"/>
      <c r="O32" s="377"/>
      <c r="P32" s="379"/>
      <c r="Q32" s="381"/>
      <c r="R32" s="381"/>
      <c r="S32" s="384"/>
    </row>
    <row r="33" spans="1:19" x14ac:dyDescent="0.2">
      <c r="A33" s="151"/>
      <c r="B33" s="7" t="s">
        <v>201</v>
      </c>
      <c r="C33" s="149"/>
      <c r="D33" s="7" t="s">
        <v>152</v>
      </c>
      <c r="E33" s="399"/>
      <c r="F33" s="402"/>
      <c r="G33" s="88" t="s">
        <v>153</v>
      </c>
      <c r="H33" s="405"/>
      <c r="I33" s="89" t="s">
        <v>154</v>
      </c>
      <c r="J33" s="389"/>
      <c r="K33" s="389"/>
      <c r="L33" s="389"/>
      <c r="M33" s="409"/>
      <c r="N33" s="391"/>
      <c r="O33" s="377" t="s">
        <v>178</v>
      </c>
      <c r="P33" s="379">
        <v>2</v>
      </c>
      <c r="Q33" s="381"/>
      <c r="R33" s="381"/>
      <c r="S33" s="384"/>
    </row>
    <row r="34" spans="1:19" ht="12" thickBot="1" x14ac:dyDescent="0.25">
      <c r="A34" s="152"/>
      <c r="B34" s="8" t="s">
        <v>202</v>
      </c>
      <c r="C34" s="150"/>
      <c r="D34" s="8" t="s">
        <v>155</v>
      </c>
      <c r="E34" s="400"/>
      <c r="F34" s="403"/>
      <c r="G34" s="154"/>
      <c r="H34" s="406"/>
      <c r="I34" s="157">
        <v>0</v>
      </c>
      <c r="J34" s="390"/>
      <c r="K34" s="390"/>
      <c r="L34" s="390"/>
      <c r="M34" s="410"/>
      <c r="N34" s="392"/>
      <c r="O34" s="393"/>
      <c r="P34" s="394"/>
      <c r="Q34" s="382"/>
      <c r="R34" s="382"/>
      <c r="S34" s="385"/>
    </row>
    <row r="35" spans="1:19" x14ac:dyDescent="0.2">
      <c r="A35" s="395"/>
      <c r="B35" s="396"/>
      <c r="C35" s="396"/>
      <c r="D35" s="397"/>
      <c r="E35" s="398"/>
      <c r="F35" s="401">
        <v>1</v>
      </c>
      <c r="G35" s="85" t="s">
        <v>150</v>
      </c>
      <c r="H35" s="404"/>
      <c r="I35" s="86" t="s">
        <v>151</v>
      </c>
      <c r="J35" s="407"/>
      <c r="K35" s="407"/>
      <c r="L35" s="407"/>
      <c r="M35" s="408">
        <v>10</v>
      </c>
      <c r="N35" s="408">
        <v>1</v>
      </c>
      <c r="O35" s="376" t="s">
        <v>177</v>
      </c>
      <c r="P35" s="378">
        <v>1</v>
      </c>
      <c r="Q35" s="380">
        <v>0</v>
      </c>
      <c r="R35" s="380">
        <f t="shared" ref="R35" si="6">SUM(M35)-N35-N37-Q35</f>
        <v>9</v>
      </c>
      <c r="S35" s="383"/>
    </row>
    <row r="36" spans="1:19" x14ac:dyDescent="0.2">
      <c r="A36" s="386"/>
      <c r="B36" s="387"/>
      <c r="C36" s="387"/>
      <c r="D36" s="388"/>
      <c r="E36" s="399"/>
      <c r="F36" s="402"/>
      <c r="G36" s="155"/>
      <c r="H36" s="405"/>
      <c r="I36" s="156">
        <v>0</v>
      </c>
      <c r="J36" s="389"/>
      <c r="K36" s="389"/>
      <c r="L36" s="389"/>
      <c r="M36" s="409"/>
      <c r="N36" s="409"/>
      <c r="O36" s="377"/>
      <c r="P36" s="379"/>
      <c r="Q36" s="381"/>
      <c r="R36" s="381"/>
      <c r="S36" s="384"/>
    </row>
    <row r="37" spans="1:19" x14ac:dyDescent="0.2">
      <c r="A37" s="151"/>
      <c r="B37" s="7" t="s">
        <v>201</v>
      </c>
      <c r="C37" s="149"/>
      <c r="D37" s="7" t="s">
        <v>152</v>
      </c>
      <c r="E37" s="399"/>
      <c r="F37" s="402"/>
      <c r="G37" s="88" t="s">
        <v>153</v>
      </c>
      <c r="H37" s="405"/>
      <c r="I37" s="89" t="s">
        <v>154</v>
      </c>
      <c r="J37" s="389"/>
      <c r="K37" s="389"/>
      <c r="L37" s="389"/>
      <c r="M37" s="409"/>
      <c r="N37" s="391"/>
      <c r="O37" s="377" t="s">
        <v>178</v>
      </c>
      <c r="P37" s="379">
        <v>2</v>
      </c>
      <c r="Q37" s="381"/>
      <c r="R37" s="381"/>
      <c r="S37" s="384"/>
    </row>
    <row r="38" spans="1:19" ht="12" thickBot="1" x14ac:dyDescent="0.25">
      <c r="A38" s="152"/>
      <c r="B38" s="8" t="s">
        <v>202</v>
      </c>
      <c r="C38" s="150"/>
      <c r="D38" s="8" t="s">
        <v>155</v>
      </c>
      <c r="E38" s="400"/>
      <c r="F38" s="403"/>
      <c r="G38" s="154"/>
      <c r="H38" s="406"/>
      <c r="I38" s="157">
        <v>0</v>
      </c>
      <c r="J38" s="390"/>
      <c r="K38" s="390"/>
      <c r="L38" s="390"/>
      <c r="M38" s="410"/>
      <c r="N38" s="392"/>
      <c r="O38" s="393"/>
      <c r="P38" s="394"/>
      <c r="Q38" s="382"/>
      <c r="R38" s="382"/>
      <c r="S38" s="385"/>
    </row>
    <row r="39" spans="1:19" x14ac:dyDescent="0.2">
      <c r="A39" s="395"/>
      <c r="B39" s="396"/>
      <c r="C39" s="396"/>
      <c r="D39" s="397"/>
      <c r="E39" s="398"/>
      <c r="F39" s="401">
        <v>1</v>
      </c>
      <c r="G39" s="85" t="s">
        <v>150</v>
      </c>
      <c r="H39" s="404"/>
      <c r="I39" s="86" t="s">
        <v>151</v>
      </c>
      <c r="J39" s="407"/>
      <c r="K39" s="407"/>
      <c r="L39" s="407"/>
      <c r="M39" s="408">
        <v>10</v>
      </c>
      <c r="N39" s="408">
        <v>1</v>
      </c>
      <c r="O39" s="376" t="s">
        <v>177</v>
      </c>
      <c r="P39" s="378">
        <v>1</v>
      </c>
      <c r="Q39" s="380">
        <v>0</v>
      </c>
      <c r="R39" s="380">
        <f t="shared" ref="R39" si="7">SUM(M39)-N39-N41-Q39</f>
        <v>9</v>
      </c>
      <c r="S39" s="383"/>
    </row>
    <row r="40" spans="1:19" x14ac:dyDescent="0.2">
      <c r="A40" s="386"/>
      <c r="B40" s="387"/>
      <c r="C40" s="387"/>
      <c r="D40" s="388"/>
      <c r="E40" s="399"/>
      <c r="F40" s="402"/>
      <c r="G40" s="155"/>
      <c r="H40" s="405"/>
      <c r="I40" s="156">
        <v>0</v>
      </c>
      <c r="J40" s="389"/>
      <c r="K40" s="389"/>
      <c r="L40" s="389"/>
      <c r="M40" s="409"/>
      <c r="N40" s="409"/>
      <c r="O40" s="377"/>
      <c r="P40" s="379"/>
      <c r="Q40" s="381"/>
      <c r="R40" s="381"/>
      <c r="S40" s="384"/>
    </row>
    <row r="41" spans="1:19" x14ac:dyDescent="0.2">
      <c r="A41" s="151"/>
      <c r="B41" s="7" t="s">
        <v>201</v>
      </c>
      <c r="C41" s="149"/>
      <c r="D41" s="7" t="s">
        <v>152</v>
      </c>
      <c r="E41" s="399"/>
      <c r="F41" s="402"/>
      <c r="G41" s="88" t="s">
        <v>153</v>
      </c>
      <c r="H41" s="405"/>
      <c r="I41" s="89" t="s">
        <v>154</v>
      </c>
      <c r="J41" s="389"/>
      <c r="K41" s="389"/>
      <c r="L41" s="389"/>
      <c r="M41" s="409"/>
      <c r="N41" s="391"/>
      <c r="O41" s="377" t="s">
        <v>178</v>
      </c>
      <c r="P41" s="379">
        <v>2</v>
      </c>
      <c r="Q41" s="381"/>
      <c r="R41" s="381"/>
      <c r="S41" s="384"/>
    </row>
    <row r="42" spans="1:19" ht="12" thickBot="1" x14ac:dyDescent="0.25">
      <c r="A42" s="152"/>
      <c r="B42" s="8" t="s">
        <v>202</v>
      </c>
      <c r="C42" s="150"/>
      <c r="D42" s="8" t="s">
        <v>155</v>
      </c>
      <c r="E42" s="400"/>
      <c r="F42" s="403"/>
      <c r="G42" s="154"/>
      <c r="H42" s="406"/>
      <c r="I42" s="157">
        <v>0</v>
      </c>
      <c r="J42" s="390"/>
      <c r="K42" s="390"/>
      <c r="L42" s="390"/>
      <c r="M42" s="410"/>
      <c r="N42" s="392"/>
      <c r="O42" s="393"/>
      <c r="P42" s="394"/>
      <c r="Q42" s="382"/>
      <c r="R42" s="382"/>
      <c r="S42" s="385"/>
    </row>
    <row r="43" spans="1:19" x14ac:dyDescent="0.2">
      <c r="G43" s="11" t="s">
        <v>206</v>
      </c>
      <c r="H43" s="105">
        <f>SUM(H7:H38)</f>
        <v>200000</v>
      </c>
      <c r="I43" s="105">
        <f>SUM(I8,I10,I12,I14,I16,I18,I20,I22,I24,I26,I28,I30,I32,I34,I36,I38)</f>
        <v>0</v>
      </c>
      <c r="J43" s="106"/>
      <c r="K43" s="106"/>
      <c r="L43" s="106"/>
      <c r="M43" s="107">
        <f>SUM(M7:M42)</f>
        <v>665</v>
      </c>
      <c r="N43" s="105">
        <f>SUM(N7:N38)</f>
        <v>8</v>
      </c>
      <c r="O43" s="441" t="s">
        <v>177</v>
      </c>
      <c r="P43" s="441">
        <f>P7+P11+P15+P19+P23+P27+P31+P35+P39</f>
        <v>9</v>
      </c>
      <c r="Q43" s="105">
        <f>SUM(Q7:Q38)</f>
        <v>3</v>
      </c>
      <c r="R43" s="105">
        <f>SUM(R7:R38)</f>
        <v>644</v>
      </c>
      <c r="S43" s="106"/>
    </row>
    <row r="44" spans="1:19" x14ac:dyDescent="0.2">
      <c r="G44" s="11" t="s">
        <v>207</v>
      </c>
      <c r="H44" s="108">
        <f>'Page 6 (2)'!H43</f>
        <v>0</v>
      </c>
      <c r="I44" s="108">
        <f>'Page 6 (2)'!I43</f>
        <v>0</v>
      </c>
      <c r="J44" s="106"/>
      <c r="K44" s="106"/>
      <c r="L44" s="106"/>
      <c r="M44" s="109">
        <f>'Page 6 (2)'!M43</f>
        <v>1000</v>
      </c>
      <c r="N44" s="109">
        <f>'Page 6 (2)'!N43</f>
        <v>0</v>
      </c>
      <c r="O44" s="442" t="s">
        <v>178</v>
      </c>
      <c r="P44" s="442">
        <f>P9+P13+P17+P21+P25+P29+P33+P37+P41</f>
        <v>18</v>
      </c>
      <c r="Q44" s="108">
        <f>'Page 6 (2)'!Q43</f>
        <v>791.66666666666663</v>
      </c>
      <c r="R44" s="108">
        <f>'Page 6 (2)'!R43</f>
        <v>208.33333333333337</v>
      </c>
      <c r="S44" s="106"/>
    </row>
    <row r="45" spans="1:19" x14ac:dyDescent="0.2">
      <c r="G45" s="11" t="s">
        <v>208</v>
      </c>
      <c r="H45" s="111">
        <f>'Page 6 (3)'!H43</f>
        <v>0</v>
      </c>
      <c r="I45" s="111">
        <f>'Page 6 (3)'!I43</f>
        <v>0</v>
      </c>
      <c r="J45" s="106"/>
      <c r="K45" s="106"/>
      <c r="L45" s="106"/>
      <c r="M45" s="112">
        <f>'Page 6 (3)'!M43</f>
        <v>1000</v>
      </c>
      <c r="N45" s="111">
        <f>'Page 6 (3)'!N43</f>
        <v>0</v>
      </c>
      <c r="O45" s="442" t="s">
        <v>218</v>
      </c>
      <c r="P45" s="442">
        <f>P43+'Page 6 (2)'!P43+'Page 6 (3)'!P43</f>
        <v>14509</v>
      </c>
      <c r="Q45" s="111">
        <f>'Page 6 (3)'!Q43</f>
        <v>583.33333333333337</v>
      </c>
      <c r="R45" s="111">
        <f>'Page 6 (3)'!R43</f>
        <v>416.66666666666663</v>
      </c>
      <c r="S45" s="106"/>
    </row>
    <row r="46" spans="1:19" s="113" customFormat="1" x14ac:dyDescent="0.2">
      <c r="G46" s="114" t="s">
        <v>209</v>
      </c>
      <c r="H46" s="115">
        <f>SUM(H43:H45)</f>
        <v>200000</v>
      </c>
      <c r="I46" s="115">
        <f>SUM(I43:I45)</f>
        <v>0</v>
      </c>
      <c r="J46" s="116"/>
      <c r="K46" s="116"/>
      <c r="L46" s="116"/>
      <c r="M46" s="117">
        <f>SUM(M43:M45)</f>
        <v>2665</v>
      </c>
      <c r="N46" s="117">
        <f t="shared" ref="N46:R46" si="8">SUM(N43:N45)</f>
        <v>8</v>
      </c>
      <c r="O46" s="443" t="s">
        <v>219</v>
      </c>
      <c r="P46" s="444">
        <f>P44+'Page 6 (2)'!P44+'Page 6 (3)'!P44</f>
        <v>2018</v>
      </c>
      <c r="Q46" s="117">
        <f t="shared" si="8"/>
        <v>1378</v>
      </c>
      <c r="R46" s="117">
        <f t="shared" si="8"/>
        <v>1269</v>
      </c>
      <c r="S46" s="116"/>
    </row>
    <row r="47" spans="1:19" x14ac:dyDescent="0.2">
      <c r="G47" s="104"/>
      <c r="H47" s="106"/>
      <c r="I47" s="110"/>
      <c r="J47" s="106"/>
      <c r="K47" s="106"/>
      <c r="L47" s="106"/>
      <c r="M47" s="110"/>
      <c r="N47" s="110"/>
      <c r="O47" s="110"/>
      <c r="P47" s="110"/>
      <c r="Q47" s="106"/>
      <c r="R47" s="106"/>
      <c r="S47" s="106"/>
    </row>
    <row r="48" spans="1:19" x14ac:dyDescent="0.2">
      <c r="G48" s="104"/>
      <c r="H48" s="106"/>
      <c r="I48" s="110"/>
      <c r="J48" s="106"/>
      <c r="K48" s="106"/>
      <c r="L48" s="106"/>
      <c r="M48" s="110"/>
      <c r="N48" s="110"/>
      <c r="O48" s="110"/>
      <c r="P48" s="110"/>
      <c r="Q48" s="106"/>
      <c r="R48" s="106"/>
      <c r="S48" s="106"/>
    </row>
    <row r="49" spans="1:19" x14ac:dyDescent="0.2">
      <c r="A49" s="95" t="s">
        <v>156</v>
      </c>
    </row>
    <row r="50" spans="1:19" x14ac:dyDescent="0.2">
      <c r="S50" s="98"/>
    </row>
  </sheetData>
  <sheetProtection selectLockedCells="1"/>
  <mergeCells count="196">
    <mergeCell ref="M31:M34"/>
    <mergeCell ref="K21:K22"/>
    <mergeCell ref="K23:K24"/>
    <mergeCell ref="K11:K12"/>
    <mergeCell ref="K13:K14"/>
    <mergeCell ref="K15:K16"/>
    <mergeCell ref="K17:K18"/>
    <mergeCell ref="K19:K20"/>
    <mergeCell ref="N21:N22"/>
    <mergeCell ref="N23:N24"/>
    <mergeCell ref="N25:N26"/>
    <mergeCell ref="N27:N28"/>
    <mergeCell ref="N29:N30"/>
    <mergeCell ref="N11:N12"/>
    <mergeCell ref="N13:N14"/>
    <mergeCell ref="N15:N16"/>
    <mergeCell ref="N17:N18"/>
    <mergeCell ref="M15:M18"/>
    <mergeCell ref="M19:M22"/>
    <mergeCell ref="M23:M26"/>
    <mergeCell ref="M27:M30"/>
    <mergeCell ref="L17:L18"/>
    <mergeCell ref="Q15:Q18"/>
    <mergeCell ref="A6:D6"/>
    <mergeCell ref="J11:J12"/>
    <mergeCell ref="J13:J14"/>
    <mergeCell ref="J15:J16"/>
    <mergeCell ref="J17:J18"/>
    <mergeCell ref="K27:K28"/>
    <mergeCell ref="K29:K30"/>
    <mergeCell ref="M7:M10"/>
    <mergeCell ref="L15:L16"/>
    <mergeCell ref="Q11:Q14"/>
    <mergeCell ref="A19:D19"/>
    <mergeCell ref="O19:O20"/>
    <mergeCell ref="P19:P20"/>
    <mergeCell ref="A27:D27"/>
    <mergeCell ref="O27:O28"/>
    <mergeCell ref="P27:P28"/>
    <mergeCell ref="C2:F2"/>
    <mergeCell ref="E19:E22"/>
    <mergeCell ref="E23:E26"/>
    <mergeCell ref="E27:E30"/>
    <mergeCell ref="Q31:Q34"/>
    <mergeCell ref="H19:H22"/>
    <mergeCell ref="H23:H26"/>
    <mergeCell ref="H31:H34"/>
    <mergeCell ref="F27:F30"/>
    <mergeCell ref="F31:F34"/>
    <mergeCell ref="F15:F18"/>
    <mergeCell ref="F19:F22"/>
    <mergeCell ref="F23:F26"/>
    <mergeCell ref="L19:L20"/>
    <mergeCell ref="L21:L22"/>
    <mergeCell ref="L23:L24"/>
    <mergeCell ref="L25:L26"/>
    <mergeCell ref="L27:L28"/>
    <mergeCell ref="L29:L30"/>
    <mergeCell ref="L31:L32"/>
    <mergeCell ref="Q19:Q22"/>
    <mergeCell ref="Q23:Q26"/>
    <mergeCell ref="L33:L34"/>
    <mergeCell ref="K7:K8"/>
    <mergeCell ref="N3:R3"/>
    <mergeCell ref="A11:D11"/>
    <mergeCell ref="S3:S6"/>
    <mergeCell ref="O5:P5"/>
    <mergeCell ref="O6:P6"/>
    <mergeCell ref="A7:D7"/>
    <mergeCell ref="O7:O8"/>
    <mergeCell ref="P7:P8"/>
    <mergeCell ref="S7:S10"/>
    <mergeCell ref="A8:D8"/>
    <mergeCell ref="O9:O10"/>
    <mergeCell ref="P9:P10"/>
    <mergeCell ref="E7:E10"/>
    <mergeCell ref="H7:H10"/>
    <mergeCell ref="Q7:Q10"/>
    <mergeCell ref="R7:R10"/>
    <mergeCell ref="F7:F10"/>
    <mergeCell ref="L7:L8"/>
    <mergeCell ref="L9:L10"/>
    <mergeCell ref="K9:K10"/>
    <mergeCell ref="N7:N8"/>
    <mergeCell ref="N9:N10"/>
    <mergeCell ref="J7:J8"/>
    <mergeCell ref="J9:J10"/>
    <mergeCell ref="A5:D5"/>
    <mergeCell ref="O11:O12"/>
    <mergeCell ref="P11:P12"/>
    <mergeCell ref="S11:S14"/>
    <mergeCell ref="A12:D12"/>
    <mergeCell ref="O13:O14"/>
    <mergeCell ref="P13:P14"/>
    <mergeCell ref="M11:M14"/>
    <mergeCell ref="A15:D15"/>
    <mergeCell ref="O15:O16"/>
    <mergeCell ref="P15:P16"/>
    <mergeCell ref="S15:S18"/>
    <mergeCell ref="A16:D16"/>
    <mergeCell ref="O17:O18"/>
    <mergeCell ref="P17:P18"/>
    <mergeCell ref="E11:E14"/>
    <mergeCell ref="E15:E18"/>
    <mergeCell ref="H11:H14"/>
    <mergeCell ref="H15:H18"/>
    <mergeCell ref="R11:R14"/>
    <mergeCell ref="R15:R18"/>
    <mergeCell ref="F11:F14"/>
    <mergeCell ref="L11:L12"/>
    <mergeCell ref="L13:L14"/>
    <mergeCell ref="S19:S22"/>
    <mergeCell ref="A20:D20"/>
    <mergeCell ref="O21:O22"/>
    <mergeCell ref="P21:P22"/>
    <mergeCell ref="A23:D23"/>
    <mergeCell ref="O23:O24"/>
    <mergeCell ref="P23:P24"/>
    <mergeCell ref="S23:S26"/>
    <mergeCell ref="A24:D24"/>
    <mergeCell ref="O25:O26"/>
    <mergeCell ref="P25:P26"/>
    <mergeCell ref="R19:R22"/>
    <mergeCell ref="R23:R26"/>
    <mergeCell ref="J19:J20"/>
    <mergeCell ref="J21:J22"/>
    <mergeCell ref="J23:J24"/>
    <mergeCell ref="J25:J26"/>
    <mergeCell ref="K25:K26"/>
    <mergeCell ref="N19:N20"/>
    <mergeCell ref="S27:S30"/>
    <mergeCell ref="A28:D28"/>
    <mergeCell ref="O29:O30"/>
    <mergeCell ref="P29:P30"/>
    <mergeCell ref="A31:D31"/>
    <mergeCell ref="O31:O32"/>
    <mergeCell ref="P31:P32"/>
    <mergeCell ref="S31:S34"/>
    <mergeCell ref="A32:D32"/>
    <mergeCell ref="O33:O34"/>
    <mergeCell ref="P33:P34"/>
    <mergeCell ref="J33:J34"/>
    <mergeCell ref="J29:J30"/>
    <mergeCell ref="J31:J32"/>
    <mergeCell ref="R27:R30"/>
    <mergeCell ref="R31:R34"/>
    <mergeCell ref="J27:J28"/>
    <mergeCell ref="K31:K32"/>
    <mergeCell ref="K33:K34"/>
    <mergeCell ref="E31:E34"/>
    <mergeCell ref="H27:H30"/>
    <mergeCell ref="Q27:Q30"/>
    <mergeCell ref="N31:N32"/>
    <mergeCell ref="N33:N34"/>
    <mergeCell ref="O35:O36"/>
    <mergeCell ref="P35:P36"/>
    <mergeCell ref="Q35:Q38"/>
    <mergeCell ref="R35:R38"/>
    <mergeCell ref="S35:S38"/>
    <mergeCell ref="A36:D36"/>
    <mergeCell ref="J37:J38"/>
    <mergeCell ref="K37:K38"/>
    <mergeCell ref="L37:L38"/>
    <mergeCell ref="N37:N38"/>
    <mergeCell ref="O37:O38"/>
    <mergeCell ref="P37:P38"/>
    <mergeCell ref="A35:D35"/>
    <mergeCell ref="E35:E38"/>
    <mergeCell ref="F35:F38"/>
    <mergeCell ref="H35:H38"/>
    <mergeCell ref="J35:J36"/>
    <mergeCell ref="K35:K36"/>
    <mergeCell ref="L35:L36"/>
    <mergeCell ref="M35:M38"/>
    <mergeCell ref="N35:N36"/>
    <mergeCell ref="O39:O40"/>
    <mergeCell ref="P39:P40"/>
    <mergeCell ref="Q39:Q42"/>
    <mergeCell ref="R39:R42"/>
    <mergeCell ref="S39:S42"/>
    <mergeCell ref="A40:D40"/>
    <mergeCell ref="J41:J42"/>
    <mergeCell ref="K41:K42"/>
    <mergeCell ref="L41:L42"/>
    <mergeCell ref="N41:N42"/>
    <mergeCell ref="O41:O42"/>
    <mergeCell ref="P41:P42"/>
    <mergeCell ref="A39:D39"/>
    <mergeCell ref="E39:E42"/>
    <mergeCell ref="F39:F42"/>
    <mergeCell ref="H39:H42"/>
    <mergeCell ref="J39:J40"/>
    <mergeCell ref="K39:K40"/>
    <mergeCell ref="L39:L40"/>
    <mergeCell ref="M39:M42"/>
    <mergeCell ref="N39:N40"/>
  </mergeCells>
  <pageMargins left="0.25" right="0.25" top="0.75" bottom="0.25735294117647056" header="0.3" footer="0.3"/>
  <pageSetup paperSize="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D69E-7AA1-454C-B76C-E5351D8BD587}">
  <dimension ref="A1:S48"/>
  <sheetViews>
    <sheetView tabSelected="1" view="pageLayout" zoomScale="85" zoomScaleNormal="100" zoomScalePageLayoutView="85" workbookViewId="0">
      <selection activeCell="K45" sqref="K45"/>
    </sheetView>
  </sheetViews>
  <sheetFormatPr defaultRowHeight="11.25" x14ac:dyDescent="0.2"/>
  <cols>
    <col min="1" max="1" width="3.140625" style="11" customWidth="1"/>
    <col min="2" max="2" width="7.28515625" style="11" customWidth="1"/>
    <col min="3" max="3" width="3" style="11" customWidth="1"/>
    <col min="4" max="5" width="7.28515625" style="11" customWidth="1"/>
    <col min="6" max="6" width="8.28515625" style="11" customWidth="1"/>
    <col min="7" max="7" width="13.5703125" style="11" bestFit="1" customWidth="1"/>
    <col min="8" max="8" width="11" style="11" customWidth="1"/>
    <col min="9" max="9" width="10.85546875" style="96" customWidth="1"/>
    <col min="10" max="10" width="9.140625" style="11"/>
    <col min="11" max="11" width="14.7109375" style="11" customWidth="1"/>
    <col min="12" max="12" width="12" style="11" bestFit="1" customWidth="1"/>
    <col min="13" max="13" width="9.7109375" style="96" bestFit="1" customWidth="1"/>
    <col min="14" max="14" width="10.42578125" style="96" customWidth="1"/>
    <col min="15" max="15" width="3.85546875" style="97" bestFit="1" customWidth="1"/>
    <col min="16" max="16" width="9" style="97" customWidth="1"/>
    <col min="17" max="17" width="9.5703125" style="11" bestFit="1" customWidth="1"/>
    <col min="18" max="18" width="8.140625" style="11" bestFit="1" customWidth="1"/>
    <col min="19" max="19" width="10" style="11" customWidth="1"/>
    <col min="20" max="256" width="9.140625" style="11"/>
    <col min="257" max="257" width="3.140625" style="11" customWidth="1"/>
    <col min="258" max="258" width="11.85546875" style="11" customWidth="1"/>
    <col min="259" max="259" width="3" style="11" customWidth="1"/>
    <col min="260" max="260" width="5.42578125" style="11" customWidth="1"/>
    <col min="261" max="261" width="9.7109375" style="11" customWidth="1"/>
    <col min="262" max="262" width="8.28515625" style="11" customWidth="1"/>
    <col min="263" max="263" width="13.5703125" style="11" bestFit="1" customWidth="1"/>
    <col min="264" max="264" width="11" style="11" customWidth="1"/>
    <col min="265" max="265" width="10.85546875" style="11" customWidth="1"/>
    <col min="266" max="266" width="9.140625" style="11"/>
    <col min="267" max="267" width="14.7109375" style="11" customWidth="1"/>
    <col min="268" max="268" width="12" style="11" bestFit="1" customWidth="1"/>
    <col min="269" max="270" width="12" style="11" customWidth="1"/>
    <col min="271" max="271" width="3.85546875" style="11" bestFit="1" customWidth="1"/>
    <col min="272" max="272" width="11.42578125" style="11" customWidth="1"/>
    <col min="273" max="273" width="11.85546875" style="11" customWidth="1"/>
    <col min="274" max="274" width="10.5703125" style="11" customWidth="1"/>
    <col min="275" max="275" width="13.7109375" style="11" customWidth="1"/>
    <col min="276" max="512" width="9.140625" style="11"/>
    <col min="513" max="513" width="3.140625" style="11" customWidth="1"/>
    <col min="514" max="514" width="11.85546875" style="11" customWidth="1"/>
    <col min="515" max="515" width="3" style="11" customWidth="1"/>
    <col min="516" max="516" width="5.42578125" style="11" customWidth="1"/>
    <col min="517" max="517" width="9.7109375" style="11" customWidth="1"/>
    <col min="518" max="518" width="8.28515625" style="11" customWidth="1"/>
    <col min="519" max="519" width="13.5703125" style="11" bestFit="1" customWidth="1"/>
    <col min="520" max="520" width="11" style="11" customWidth="1"/>
    <col min="521" max="521" width="10.85546875" style="11" customWidth="1"/>
    <col min="522" max="522" width="9.140625" style="11"/>
    <col min="523" max="523" width="14.7109375" style="11" customWidth="1"/>
    <col min="524" max="524" width="12" style="11" bestFit="1" customWidth="1"/>
    <col min="525" max="526" width="12" style="11" customWidth="1"/>
    <col min="527" max="527" width="3.85546875" style="11" bestFit="1" customWidth="1"/>
    <col min="528" max="528" width="11.42578125" style="11" customWidth="1"/>
    <col min="529" max="529" width="11.85546875" style="11" customWidth="1"/>
    <col min="530" max="530" width="10.5703125" style="11" customWidth="1"/>
    <col min="531" max="531" width="13.7109375" style="11" customWidth="1"/>
    <col min="532" max="768" width="9.140625" style="11"/>
    <col min="769" max="769" width="3.140625" style="11" customWidth="1"/>
    <col min="770" max="770" width="11.85546875" style="11" customWidth="1"/>
    <col min="771" max="771" width="3" style="11" customWidth="1"/>
    <col min="772" max="772" width="5.42578125" style="11" customWidth="1"/>
    <col min="773" max="773" width="9.7109375" style="11" customWidth="1"/>
    <col min="774" max="774" width="8.28515625" style="11" customWidth="1"/>
    <col min="775" max="775" width="13.5703125" style="11" bestFit="1" customWidth="1"/>
    <col min="776" max="776" width="11" style="11" customWidth="1"/>
    <col min="777" max="777" width="10.85546875" style="11" customWidth="1"/>
    <col min="778" max="778" width="9.140625" style="11"/>
    <col min="779" max="779" width="14.7109375" style="11" customWidth="1"/>
    <col min="780" max="780" width="12" style="11" bestFit="1" customWidth="1"/>
    <col min="781" max="782" width="12" style="11" customWidth="1"/>
    <col min="783" max="783" width="3.85546875" style="11" bestFit="1" customWidth="1"/>
    <col min="784" max="784" width="11.42578125" style="11" customWidth="1"/>
    <col min="785" max="785" width="11.85546875" style="11" customWidth="1"/>
    <col min="786" max="786" width="10.5703125" style="11" customWidth="1"/>
    <col min="787" max="787" width="13.7109375" style="11" customWidth="1"/>
    <col min="788" max="1024" width="9.140625" style="11"/>
    <col min="1025" max="1025" width="3.140625" style="11" customWidth="1"/>
    <col min="1026" max="1026" width="11.85546875" style="11" customWidth="1"/>
    <col min="1027" max="1027" width="3" style="11" customWidth="1"/>
    <col min="1028" max="1028" width="5.42578125" style="11" customWidth="1"/>
    <col min="1029" max="1029" width="9.7109375" style="11" customWidth="1"/>
    <col min="1030" max="1030" width="8.28515625" style="11" customWidth="1"/>
    <col min="1031" max="1031" width="13.5703125" style="11" bestFit="1" customWidth="1"/>
    <col min="1032" max="1032" width="11" style="11" customWidth="1"/>
    <col min="1033" max="1033" width="10.85546875" style="11" customWidth="1"/>
    <col min="1034" max="1034" width="9.140625" style="11"/>
    <col min="1035" max="1035" width="14.7109375" style="11" customWidth="1"/>
    <col min="1036" max="1036" width="12" style="11" bestFit="1" customWidth="1"/>
    <col min="1037" max="1038" width="12" style="11" customWidth="1"/>
    <col min="1039" max="1039" width="3.85546875" style="11" bestFit="1" customWidth="1"/>
    <col min="1040" max="1040" width="11.42578125" style="11" customWidth="1"/>
    <col min="1041" max="1041" width="11.85546875" style="11" customWidth="1"/>
    <col min="1042" max="1042" width="10.5703125" style="11" customWidth="1"/>
    <col min="1043" max="1043" width="13.7109375" style="11" customWidth="1"/>
    <col min="1044" max="1280" width="9.140625" style="11"/>
    <col min="1281" max="1281" width="3.140625" style="11" customWidth="1"/>
    <col min="1282" max="1282" width="11.85546875" style="11" customWidth="1"/>
    <col min="1283" max="1283" width="3" style="11" customWidth="1"/>
    <col min="1284" max="1284" width="5.42578125" style="11" customWidth="1"/>
    <col min="1285" max="1285" width="9.7109375" style="11" customWidth="1"/>
    <col min="1286" max="1286" width="8.28515625" style="11" customWidth="1"/>
    <col min="1287" max="1287" width="13.5703125" style="11" bestFit="1" customWidth="1"/>
    <col min="1288" max="1288" width="11" style="11" customWidth="1"/>
    <col min="1289" max="1289" width="10.85546875" style="11" customWidth="1"/>
    <col min="1290" max="1290" width="9.140625" style="11"/>
    <col min="1291" max="1291" width="14.7109375" style="11" customWidth="1"/>
    <col min="1292" max="1292" width="12" style="11" bestFit="1" customWidth="1"/>
    <col min="1293" max="1294" width="12" style="11" customWidth="1"/>
    <col min="1295" max="1295" width="3.85546875" style="11" bestFit="1" customWidth="1"/>
    <col min="1296" max="1296" width="11.42578125" style="11" customWidth="1"/>
    <col min="1297" max="1297" width="11.85546875" style="11" customWidth="1"/>
    <col min="1298" max="1298" width="10.5703125" style="11" customWidth="1"/>
    <col min="1299" max="1299" width="13.7109375" style="11" customWidth="1"/>
    <col min="1300" max="1536" width="9.140625" style="11"/>
    <col min="1537" max="1537" width="3.140625" style="11" customWidth="1"/>
    <col min="1538" max="1538" width="11.85546875" style="11" customWidth="1"/>
    <col min="1539" max="1539" width="3" style="11" customWidth="1"/>
    <col min="1540" max="1540" width="5.42578125" style="11" customWidth="1"/>
    <col min="1541" max="1541" width="9.7109375" style="11" customWidth="1"/>
    <col min="1542" max="1542" width="8.28515625" style="11" customWidth="1"/>
    <col min="1543" max="1543" width="13.5703125" style="11" bestFit="1" customWidth="1"/>
    <col min="1544" max="1544" width="11" style="11" customWidth="1"/>
    <col min="1545" max="1545" width="10.85546875" style="11" customWidth="1"/>
    <col min="1546" max="1546" width="9.140625" style="11"/>
    <col min="1547" max="1547" width="14.7109375" style="11" customWidth="1"/>
    <col min="1548" max="1548" width="12" style="11" bestFit="1" customWidth="1"/>
    <col min="1549" max="1550" width="12" style="11" customWidth="1"/>
    <col min="1551" max="1551" width="3.85546875" style="11" bestFit="1" customWidth="1"/>
    <col min="1552" max="1552" width="11.42578125" style="11" customWidth="1"/>
    <col min="1553" max="1553" width="11.85546875" style="11" customWidth="1"/>
    <col min="1554" max="1554" width="10.5703125" style="11" customWidth="1"/>
    <col min="1555" max="1555" width="13.7109375" style="11" customWidth="1"/>
    <col min="1556" max="1792" width="9.140625" style="11"/>
    <col min="1793" max="1793" width="3.140625" style="11" customWidth="1"/>
    <col min="1794" max="1794" width="11.85546875" style="11" customWidth="1"/>
    <col min="1795" max="1795" width="3" style="11" customWidth="1"/>
    <col min="1796" max="1796" width="5.42578125" style="11" customWidth="1"/>
    <col min="1797" max="1797" width="9.7109375" style="11" customWidth="1"/>
    <col min="1798" max="1798" width="8.28515625" style="11" customWidth="1"/>
    <col min="1799" max="1799" width="13.5703125" style="11" bestFit="1" customWidth="1"/>
    <col min="1800" max="1800" width="11" style="11" customWidth="1"/>
    <col min="1801" max="1801" width="10.85546875" style="11" customWidth="1"/>
    <col min="1802" max="1802" width="9.140625" style="11"/>
    <col min="1803" max="1803" width="14.7109375" style="11" customWidth="1"/>
    <col min="1804" max="1804" width="12" style="11" bestFit="1" customWidth="1"/>
    <col min="1805" max="1806" width="12" style="11" customWidth="1"/>
    <col min="1807" max="1807" width="3.85546875" style="11" bestFit="1" customWidth="1"/>
    <col min="1808" max="1808" width="11.42578125" style="11" customWidth="1"/>
    <col min="1809" max="1809" width="11.85546875" style="11" customWidth="1"/>
    <col min="1810" max="1810" width="10.5703125" style="11" customWidth="1"/>
    <col min="1811" max="1811" width="13.7109375" style="11" customWidth="1"/>
    <col min="1812" max="2048" width="9.140625" style="11"/>
    <col min="2049" max="2049" width="3.140625" style="11" customWidth="1"/>
    <col min="2050" max="2050" width="11.85546875" style="11" customWidth="1"/>
    <col min="2051" max="2051" width="3" style="11" customWidth="1"/>
    <col min="2052" max="2052" width="5.42578125" style="11" customWidth="1"/>
    <col min="2053" max="2053" width="9.7109375" style="11" customWidth="1"/>
    <col min="2054" max="2054" width="8.28515625" style="11" customWidth="1"/>
    <col min="2055" max="2055" width="13.5703125" style="11" bestFit="1" customWidth="1"/>
    <col min="2056" max="2056" width="11" style="11" customWidth="1"/>
    <col min="2057" max="2057" width="10.85546875" style="11" customWidth="1"/>
    <col min="2058" max="2058" width="9.140625" style="11"/>
    <col min="2059" max="2059" width="14.7109375" style="11" customWidth="1"/>
    <col min="2060" max="2060" width="12" style="11" bestFit="1" customWidth="1"/>
    <col min="2061" max="2062" width="12" style="11" customWidth="1"/>
    <col min="2063" max="2063" width="3.85546875" style="11" bestFit="1" customWidth="1"/>
    <col min="2064" max="2064" width="11.42578125" style="11" customWidth="1"/>
    <col min="2065" max="2065" width="11.85546875" style="11" customWidth="1"/>
    <col min="2066" max="2066" width="10.5703125" style="11" customWidth="1"/>
    <col min="2067" max="2067" width="13.7109375" style="11" customWidth="1"/>
    <col min="2068" max="2304" width="9.140625" style="11"/>
    <col min="2305" max="2305" width="3.140625" style="11" customWidth="1"/>
    <col min="2306" max="2306" width="11.85546875" style="11" customWidth="1"/>
    <col min="2307" max="2307" width="3" style="11" customWidth="1"/>
    <col min="2308" max="2308" width="5.42578125" style="11" customWidth="1"/>
    <col min="2309" max="2309" width="9.7109375" style="11" customWidth="1"/>
    <col min="2310" max="2310" width="8.28515625" style="11" customWidth="1"/>
    <col min="2311" max="2311" width="13.5703125" style="11" bestFit="1" customWidth="1"/>
    <col min="2312" max="2312" width="11" style="11" customWidth="1"/>
    <col min="2313" max="2313" width="10.85546875" style="11" customWidth="1"/>
    <col min="2314" max="2314" width="9.140625" style="11"/>
    <col min="2315" max="2315" width="14.7109375" style="11" customWidth="1"/>
    <col min="2316" max="2316" width="12" style="11" bestFit="1" customWidth="1"/>
    <col min="2317" max="2318" width="12" style="11" customWidth="1"/>
    <col min="2319" max="2319" width="3.85546875" style="11" bestFit="1" customWidth="1"/>
    <col min="2320" max="2320" width="11.42578125" style="11" customWidth="1"/>
    <col min="2321" max="2321" width="11.85546875" style="11" customWidth="1"/>
    <col min="2322" max="2322" width="10.5703125" style="11" customWidth="1"/>
    <col min="2323" max="2323" width="13.7109375" style="11" customWidth="1"/>
    <col min="2324" max="2560" width="9.140625" style="11"/>
    <col min="2561" max="2561" width="3.140625" style="11" customWidth="1"/>
    <col min="2562" max="2562" width="11.85546875" style="11" customWidth="1"/>
    <col min="2563" max="2563" width="3" style="11" customWidth="1"/>
    <col min="2564" max="2564" width="5.42578125" style="11" customWidth="1"/>
    <col min="2565" max="2565" width="9.7109375" style="11" customWidth="1"/>
    <col min="2566" max="2566" width="8.28515625" style="11" customWidth="1"/>
    <col min="2567" max="2567" width="13.5703125" style="11" bestFit="1" customWidth="1"/>
    <col min="2568" max="2568" width="11" style="11" customWidth="1"/>
    <col min="2569" max="2569" width="10.85546875" style="11" customWidth="1"/>
    <col min="2570" max="2570" width="9.140625" style="11"/>
    <col min="2571" max="2571" width="14.7109375" style="11" customWidth="1"/>
    <col min="2572" max="2572" width="12" style="11" bestFit="1" customWidth="1"/>
    <col min="2573" max="2574" width="12" style="11" customWidth="1"/>
    <col min="2575" max="2575" width="3.85546875" style="11" bestFit="1" customWidth="1"/>
    <col min="2576" max="2576" width="11.42578125" style="11" customWidth="1"/>
    <col min="2577" max="2577" width="11.85546875" style="11" customWidth="1"/>
    <col min="2578" max="2578" width="10.5703125" style="11" customWidth="1"/>
    <col min="2579" max="2579" width="13.7109375" style="11" customWidth="1"/>
    <col min="2580" max="2816" width="9.140625" style="11"/>
    <col min="2817" max="2817" width="3.140625" style="11" customWidth="1"/>
    <col min="2818" max="2818" width="11.85546875" style="11" customWidth="1"/>
    <col min="2819" max="2819" width="3" style="11" customWidth="1"/>
    <col min="2820" max="2820" width="5.42578125" style="11" customWidth="1"/>
    <col min="2821" max="2821" width="9.7109375" style="11" customWidth="1"/>
    <col min="2822" max="2822" width="8.28515625" style="11" customWidth="1"/>
    <col min="2823" max="2823" width="13.5703125" style="11" bestFit="1" customWidth="1"/>
    <col min="2824" max="2824" width="11" style="11" customWidth="1"/>
    <col min="2825" max="2825" width="10.85546875" style="11" customWidth="1"/>
    <col min="2826" max="2826" width="9.140625" style="11"/>
    <col min="2827" max="2827" width="14.7109375" style="11" customWidth="1"/>
    <col min="2828" max="2828" width="12" style="11" bestFit="1" customWidth="1"/>
    <col min="2829" max="2830" width="12" style="11" customWidth="1"/>
    <col min="2831" max="2831" width="3.85546875" style="11" bestFit="1" customWidth="1"/>
    <col min="2832" max="2832" width="11.42578125" style="11" customWidth="1"/>
    <col min="2833" max="2833" width="11.85546875" style="11" customWidth="1"/>
    <col min="2834" max="2834" width="10.5703125" style="11" customWidth="1"/>
    <col min="2835" max="2835" width="13.7109375" style="11" customWidth="1"/>
    <col min="2836" max="3072" width="9.140625" style="11"/>
    <col min="3073" max="3073" width="3.140625" style="11" customWidth="1"/>
    <col min="3074" max="3074" width="11.85546875" style="11" customWidth="1"/>
    <col min="3075" max="3075" width="3" style="11" customWidth="1"/>
    <col min="3076" max="3076" width="5.42578125" style="11" customWidth="1"/>
    <col min="3077" max="3077" width="9.7109375" style="11" customWidth="1"/>
    <col min="3078" max="3078" width="8.28515625" style="11" customWidth="1"/>
    <col min="3079" max="3079" width="13.5703125" style="11" bestFit="1" customWidth="1"/>
    <col min="3080" max="3080" width="11" style="11" customWidth="1"/>
    <col min="3081" max="3081" width="10.85546875" style="11" customWidth="1"/>
    <col min="3082" max="3082" width="9.140625" style="11"/>
    <col min="3083" max="3083" width="14.7109375" style="11" customWidth="1"/>
    <col min="3084" max="3084" width="12" style="11" bestFit="1" customWidth="1"/>
    <col min="3085" max="3086" width="12" style="11" customWidth="1"/>
    <col min="3087" max="3087" width="3.85546875" style="11" bestFit="1" customWidth="1"/>
    <col min="3088" max="3088" width="11.42578125" style="11" customWidth="1"/>
    <col min="3089" max="3089" width="11.85546875" style="11" customWidth="1"/>
    <col min="3090" max="3090" width="10.5703125" style="11" customWidth="1"/>
    <col min="3091" max="3091" width="13.7109375" style="11" customWidth="1"/>
    <col min="3092" max="3328" width="9.140625" style="11"/>
    <col min="3329" max="3329" width="3.140625" style="11" customWidth="1"/>
    <col min="3330" max="3330" width="11.85546875" style="11" customWidth="1"/>
    <col min="3331" max="3331" width="3" style="11" customWidth="1"/>
    <col min="3332" max="3332" width="5.42578125" style="11" customWidth="1"/>
    <col min="3333" max="3333" width="9.7109375" style="11" customWidth="1"/>
    <col min="3334" max="3334" width="8.28515625" style="11" customWidth="1"/>
    <col min="3335" max="3335" width="13.5703125" style="11" bestFit="1" customWidth="1"/>
    <col min="3336" max="3336" width="11" style="11" customWidth="1"/>
    <col min="3337" max="3337" width="10.85546875" style="11" customWidth="1"/>
    <col min="3338" max="3338" width="9.140625" style="11"/>
    <col min="3339" max="3339" width="14.7109375" style="11" customWidth="1"/>
    <col min="3340" max="3340" width="12" style="11" bestFit="1" customWidth="1"/>
    <col min="3341" max="3342" width="12" style="11" customWidth="1"/>
    <col min="3343" max="3343" width="3.85546875" style="11" bestFit="1" customWidth="1"/>
    <col min="3344" max="3344" width="11.42578125" style="11" customWidth="1"/>
    <col min="3345" max="3345" width="11.85546875" style="11" customWidth="1"/>
    <col min="3346" max="3346" width="10.5703125" style="11" customWidth="1"/>
    <col min="3347" max="3347" width="13.7109375" style="11" customWidth="1"/>
    <col min="3348" max="3584" width="9.140625" style="11"/>
    <col min="3585" max="3585" width="3.140625" style="11" customWidth="1"/>
    <col min="3586" max="3586" width="11.85546875" style="11" customWidth="1"/>
    <col min="3587" max="3587" width="3" style="11" customWidth="1"/>
    <col min="3588" max="3588" width="5.42578125" style="11" customWidth="1"/>
    <col min="3589" max="3589" width="9.7109375" style="11" customWidth="1"/>
    <col min="3590" max="3590" width="8.28515625" style="11" customWidth="1"/>
    <col min="3591" max="3591" width="13.5703125" style="11" bestFit="1" customWidth="1"/>
    <col min="3592" max="3592" width="11" style="11" customWidth="1"/>
    <col min="3593" max="3593" width="10.85546875" style="11" customWidth="1"/>
    <col min="3594" max="3594" width="9.140625" style="11"/>
    <col min="3595" max="3595" width="14.7109375" style="11" customWidth="1"/>
    <col min="3596" max="3596" width="12" style="11" bestFit="1" customWidth="1"/>
    <col min="3597" max="3598" width="12" style="11" customWidth="1"/>
    <col min="3599" max="3599" width="3.85546875" style="11" bestFit="1" customWidth="1"/>
    <col min="3600" max="3600" width="11.42578125" style="11" customWidth="1"/>
    <col min="3601" max="3601" width="11.85546875" style="11" customWidth="1"/>
    <col min="3602" max="3602" width="10.5703125" style="11" customWidth="1"/>
    <col min="3603" max="3603" width="13.7109375" style="11" customWidth="1"/>
    <col min="3604" max="3840" width="9.140625" style="11"/>
    <col min="3841" max="3841" width="3.140625" style="11" customWidth="1"/>
    <col min="3842" max="3842" width="11.85546875" style="11" customWidth="1"/>
    <col min="3843" max="3843" width="3" style="11" customWidth="1"/>
    <col min="3844" max="3844" width="5.42578125" style="11" customWidth="1"/>
    <col min="3845" max="3845" width="9.7109375" style="11" customWidth="1"/>
    <col min="3846" max="3846" width="8.28515625" style="11" customWidth="1"/>
    <col min="3847" max="3847" width="13.5703125" style="11" bestFit="1" customWidth="1"/>
    <col min="3848" max="3848" width="11" style="11" customWidth="1"/>
    <col min="3849" max="3849" width="10.85546875" style="11" customWidth="1"/>
    <col min="3850" max="3850" width="9.140625" style="11"/>
    <col min="3851" max="3851" width="14.7109375" style="11" customWidth="1"/>
    <col min="3852" max="3852" width="12" style="11" bestFit="1" customWidth="1"/>
    <col min="3853" max="3854" width="12" style="11" customWidth="1"/>
    <col min="3855" max="3855" width="3.85546875" style="11" bestFit="1" customWidth="1"/>
    <col min="3856" max="3856" width="11.42578125" style="11" customWidth="1"/>
    <col min="3857" max="3857" width="11.85546875" style="11" customWidth="1"/>
    <col min="3858" max="3858" width="10.5703125" style="11" customWidth="1"/>
    <col min="3859" max="3859" width="13.7109375" style="11" customWidth="1"/>
    <col min="3860" max="4096" width="9.140625" style="11"/>
    <col min="4097" max="4097" width="3.140625" style="11" customWidth="1"/>
    <col min="4098" max="4098" width="11.85546875" style="11" customWidth="1"/>
    <col min="4099" max="4099" width="3" style="11" customWidth="1"/>
    <col min="4100" max="4100" width="5.42578125" style="11" customWidth="1"/>
    <col min="4101" max="4101" width="9.7109375" style="11" customWidth="1"/>
    <col min="4102" max="4102" width="8.28515625" style="11" customWidth="1"/>
    <col min="4103" max="4103" width="13.5703125" style="11" bestFit="1" customWidth="1"/>
    <col min="4104" max="4104" width="11" style="11" customWidth="1"/>
    <col min="4105" max="4105" width="10.85546875" style="11" customWidth="1"/>
    <col min="4106" max="4106" width="9.140625" style="11"/>
    <col min="4107" max="4107" width="14.7109375" style="11" customWidth="1"/>
    <col min="4108" max="4108" width="12" style="11" bestFit="1" customWidth="1"/>
    <col min="4109" max="4110" width="12" style="11" customWidth="1"/>
    <col min="4111" max="4111" width="3.85546875" style="11" bestFit="1" customWidth="1"/>
    <col min="4112" max="4112" width="11.42578125" style="11" customWidth="1"/>
    <col min="4113" max="4113" width="11.85546875" style="11" customWidth="1"/>
    <col min="4114" max="4114" width="10.5703125" style="11" customWidth="1"/>
    <col min="4115" max="4115" width="13.7109375" style="11" customWidth="1"/>
    <col min="4116" max="4352" width="9.140625" style="11"/>
    <col min="4353" max="4353" width="3.140625" style="11" customWidth="1"/>
    <col min="4354" max="4354" width="11.85546875" style="11" customWidth="1"/>
    <col min="4355" max="4355" width="3" style="11" customWidth="1"/>
    <col min="4356" max="4356" width="5.42578125" style="11" customWidth="1"/>
    <col min="4357" max="4357" width="9.7109375" style="11" customWidth="1"/>
    <col min="4358" max="4358" width="8.28515625" style="11" customWidth="1"/>
    <col min="4359" max="4359" width="13.5703125" style="11" bestFit="1" customWidth="1"/>
    <col min="4360" max="4360" width="11" style="11" customWidth="1"/>
    <col min="4361" max="4361" width="10.85546875" style="11" customWidth="1"/>
    <col min="4362" max="4362" width="9.140625" style="11"/>
    <col min="4363" max="4363" width="14.7109375" style="11" customWidth="1"/>
    <col min="4364" max="4364" width="12" style="11" bestFit="1" customWidth="1"/>
    <col min="4365" max="4366" width="12" style="11" customWidth="1"/>
    <col min="4367" max="4367" width="3.85546875" style="11" bestFit="1" customWidth="1"/>
    <col min="4368" max="4368" width="11.42578125" style="11" customWidth="1"/>
    <col min="4369" max="4369" width="11.85546875" style="11" customWidth="1"/>
    <col min="4370" max="4370" width="10.5703125" style="11" customWidth="1"/>
    <col min="4371" max="4371" width="13.7109375" style="11" customWidth="1"/>
    <col min="4372" max="4608" width="9.140625" style="11"/>
    <col min="4609" max="4609" width="3.140625" style="11" customWidth="1"/>
    <col min="4610" max="4610" width="11.85546875" style="11" customWidth="1"/>
    <col min="4611" max="4611" width="3" style="11" customWidth="1"/>
    <col min="4612" max="4612" width="5.42578125" style="11" customWidth="1"/>
    <col min="4613" max="4613" width="9.7109375" style="11" customWidth="1"/>
    <col min="4614" max="4614" width="8.28515625" style="11" customWidth="1"/>
    <col min="4615" max="4615" width="13.5703125" style="11" bestFit="1" customWidth="1"/>
    <col min="4616" max="4616" width="11" style="11" customWidth="1"/>
    <col min="4617" max="4617" width="10.85546875" style="11" customWidth="1"/>
    <col min="4618" max="4618" width="9.140625" style="11"/>
    <col min="4619" max="4619" width="14.7109375" style="11" customWidth="1"/>
    <col min="4620" max="4620" width="12" style="11" bestFit="1" customWidth="1"/>
    <col min="4621" max="4622" width="12" style="11" customWidth="1"/>
    <col min="4623" max="4623" width="3.85546875" style="11" bestFit="1" customWidth="1"/>
    <col min="4624" max="4624" width="11.42578125" style="11" customWidth="1"/>
    <col min="4625" max="4625" width="11.85546875" style="11" customWidth="1"/>
    <col min="4626" max="4626" width="10.5703125" style="11" customWidth="1"/>
    <col min="4627" max="4627" width="13.7109375" style="11" customWidth="1"/>
    <col min="4628" max="4864" width="9.140625" style="11"/>
    <col min="4865" max="4865" width="3.140625" style="11" customWidth="1"/>
    <col min="4866" max="4866" width="11.85546875" style="11" customWidth="1"/>
    <col min="4867" max="4867" width="3" style="11" customWidth="1"/>
    <col min="4868" max="4868" width="5.42578125" style="11" customWidth="1"/>
    <col min="4869" max="4869" width="9.7109375" style="11" customWidth="1"/>
    <col min="4870" max="4870" width="8.28515625" style="11" customWidth="1"/>
    <col min="4871" max="4871" width="13.5703125" style="11" bestFit="1" customWidth="1"/>
    <col min="4872" max="4872" width="11" style="11" customWidth="1"/>
    <col min="4873" max="4873" width="10.85546875" style="11" customWidth="1"/>
    <col min="4874" max="4874" width="9.140625" style="11"/>
    <col min="4875" max="4875" width="14.7109375" style="11" customWidth="1"/>
    <col min="4876" max="4876" width="12" style="11" bestFit="1" customWidth="1"/>
    <col min="4877" max="4878" width="12" style="11" customWidth="1"/>
    <col min="4879" max="4879" width="3.85546875" style="11" bestFit="1" customWidth="1"/>
    <col min="4880" max="4880" width="11.42578125" style="11" customWidth="1"/>
    <col min="4881" max="4881" width="11.85546875" style="11" customWidth="1"/>
    <col min="4882" max="4882" width="10.5703125" style="11" customWidth="1"/>
    <col min="4883" max="4883" width="13.7109375" style="11" customWidth="1"/>
    <col min="4884" max="5120" width="9.140625" style="11"/>
    <col min="5121" max="5121" width="3.140625" style="11" customWidth="1"/>
    <col min="5122" max="5122" width="11.85546875" style="11" customWidth="1"/>
    <col min="5123" max="5123" width="3" style="11" customWidth="1"/>
    <col min="5124" max="5124" width="5.42578125" style="11" customWidth="1"/>
    <col min="5125" max="5125" width="9.7109375" style="11" customWidth="1"/>
    <col min="5126" max="5126" width="8.28515625" style="11" customWidth="1"/>
    <col min="5127" max="5127" width="13.5703125" style="11" bestFit="1" customWidth="1"/>
    <col min="5128" max="5128" width="11" style="11" customWidth="1"/>
    <col min="5129" max="5129" width="10.85546875" style="11" customWidth="1"/>
    <col min="5130" max="5130" width="9.140625" style="11"/>
    <col min="5131" max="5131" width="14.7109375" style="11" customWidth="1"/>
    <col min="5132" max="5132" width="12" style="11" bestFit="1" customWidth="1"/>
    <col min="5133" max="5134" width="12" style="11" customWidth="1"/>
    <col min="5135" max="5135" width="3.85546875" style="11" bestFit="1" customWidth="1"/>
    <col min="5136" max="5136" width="11.42578125" style="11" customWidth="1"/>
    <col min="5137" max="5137" width="11.85546875" style="11" customWidth="1"/>
    <col min="5138" max="5138" width="10.5703125" style="11" customWidth="1"/>
    <col min="5139" max="5139" width="13.7109375" style="11" customWidth="1"/>
    <col min="5140" max="5376" width="9.140625" style="11"/>
    <col min="5377" max="5377" width="3.140625" style="11" customWidth="1"/>
    <col min="5378" max="5378" width="11.85546875" style="11" customWidth="1"/>
    <col min="5379" max="5379" width="3" style="11" customWidth="1"/>
    <col min="5380" max="5380" width="5.42578125" style="11" customWidth="1"/>
    <col min="5381" max="5381" width="9.7109375" style="11" customWidth="1"/>
    <col min="5382" max="5382" width="8.28515625" style="11" customWidth="1"/>
    <col min="5383" max="5383" width="13.5703125" style="11" bestFit="1" customWidth="1"/>
    <col min="5384" max="5384" width="11" style="11" customWidth="1"/>
    <col min="5385" max="5385" width="10.85546875" style="11" customWidth="1"/>
    <col min="5386" max="5386" width="9.140625" style="11"/>
    <col min="5387" max="5387" width="14.7109375" style="11" customWidth="1"/>
    <col min="5388" max="5388" width="12" style="11" bestFit="1" customWidth="1"/>
    <col min="5389" max="5390" width="12" style="11" customWidth="1"/>
    <col min="5391" max="5391" width="3.85546875" style="11" bestFit="1" customWidth="1"/>
    <col min="5392" max="5392" width="11.42578125" style="11" customWidth="1"/>
    <col min="5393" max="5393" width="11.85546875" style="11" customWidth="1"/>
    <col min="5394" max="5394" width="10.5703125" style="11" customWidth="1"/>
    <col min="5395" max="5395" width="13.7109375" style="11" customWidth="1"/>
    <col min="5396" max="5632" width="9.140625" style="11"/>
    <col min="5633" max="5633" width="3.140625" style="11" customWidth="1"/>
    <col min="5634" max="5634" width="11.85546875" style="11" customWidth="1"/>
    <col min="5635" max="5635" width="3" style="11" customWidth="1"/>
    <col min="5636" max="5636" width="5.42578125" style="11" customWidth="1"/>
    <col min="5637" max="5637" width="9.7109375" style="11" customWidth="1"/>
    <col min="5638" max="5638" width="8.28515625" style="11" customWidth="1"/>
    <col min="5639" max="5639" width="13.5703125" style="11" bestFit="1" customWidth="1"/>
    <col min="5640" max="5640" width="11" style="11" customWidth="1"/>
    <col min="5641" max="5641" width="10.85546875" style="11" customWidth="1"/>
    <col min="5642" max="5642" width="9.140625" style="11"/>
    <col min="5643" max="5643" width="14.7109375" style="11" customWidth="1"/>
    <col min="5644" max="5644" width="12" style="11" bestFit="1" customWidth="1"/>
    <col min="5645" max="5646" width="12" style="11" customWidth="1"/>
    <col min="5647" max="5647" width="3.85546875" style="11" bestFit="1" customWidth="1"/>
    <col min="5648" max="5648" width="11.42578125" style="11" customWidth="1"/>
    <col min="5649" max="5649" width="11.85546875" style="11" customWidth="1"/>
    <col min="5650" max="5650" width="10.5703125" style="11" customWidth="1"/>
    <col min="5651" max="5651" width="13.7109375" style="11" customWidth="1"/>
    <col min="5652" max="5888" width="9.140625" style="11"/>
    <col min="5889" max="5889" width="3.140625" style="11" customWidth="1"/>
    <col min="5890" max="5890" width="11.85546875" style="11" customWidth="1"/>
    <col min="5891" max="5891" width="3" style="11" customWidth="1"/>
    <col min="5892" max="5892" width="5.42578125" style="11" customWidth="1"/>
    <col min="5893" max="5893" width="9.7109375" style="11" customWidth="1"/>
    <col min="5894" max="5894" width="8.28515625" style="11" customWidth="1"/>
    <col min="5895" max="5895" width="13.5703125" style="11" bestFit="1" customWidth="1"/>
    <col min="5896" max="5896" width="11" style="11" customWidth="1"/>
    <col min="5897" max="5897" width="10.85546875" style="11" customWidth="1"/>
    <col min="5898" max="5898" width="9.140625" style="11"/>
    <col min="5899" max="5899" width="14.7109375" style="11" customWidth="1"/>
    <col min="5900" max="5900" width="12" style="11" bestFit="1" customWidth="1"/>
    <col min="5901" max="5902" width="12" style="11" customWidth="1"/>
    <col min="5903" max="5903" width="3.85546875" style="11" bestFit="1" customWidth="1"/>
    <col min="5904" max="5904" width="11.42578125" style="11" customWidth="1"/>
    <col min="5905" max="5905" width="11.85546875" style="11" customWidth="1"/>
    <col min="5906" max="5906" width="10.5703125" style="11" customWidth="1"/>
    <col min="5907" max="5907" width="13.7109375" style="11" customWidth="1"/>
    <col min="5908" max="6144" width="9.140625" style="11"/>
    <col min="6145" max="6145" width="3.140625" style="11" customWidth="1"/>
    <col min="6146" max="6146" width="11.85546875" style="11" customWidth="1"/>
    <col min="6147" max="6147" width="3" style="11" customWidth="1"/>
    <col min="6148" max="6148" width="5.42578125" style="11" customWidth="1"/>
    <col min="6149" max="6149" width="9.7109375" style="11" customWidth="1"/>
    <col min="6150" max="6150" width="8.28515625" style="11" customWidth="1"/>
    <col min="6151" max="6151" width="13.5703125" style="11" bestFit="1" customWidth="1"/>
    <col min="6152" max="6152" width="11" style="11" customWidth="1"/>
    <col min="6153" max="6153" width="10.85546875" style="11" customWidth="1"/>
    <col min="6154" max="6154" width="9.140625" style="11"/>
    <col min="6155" max="6155" width="14.7109375" style="11" customWidth="1"/>
    <col min="6156" max="6156" width="12" style="11" bestFit="1" customWidth="1"/>
    <col min="6157" max="6158" width="12" style="11" customWidth="1"/>
    <col min="6159" max="6159" width="3.85546875" style="11" bestFit="1" customWidth="1"/>
    <col min="6160" max="6160" width="11.42578125" style="11" customWidth="1"/>
    <col min="6161" max="6161" width="11.85546875" style="11" customWidth="1"/>
    <col min="6162" max="6162" width="10.5703125" style="11" customWidth="1"/>
    <col min="6163" max="6163" width="13.7109375" style="11" customWidth="1"/>
    <col min="6164" max="6400" width="9.140625" style="11"/>
    <col min="6401" max="6401" width="3.140625" style="11" customWidth="1"/>
    <col min="6402" max="6402" width="11.85546875" style="11" customWidth="1"/>
    <col min="6403" max="6403" width="3" style="11" customWidth="1"/>
    <col min="6404" max="6404" width="5.42578125" style="11" customWidth="1"/>
    <col min="6405" max="6405" width="9.7109375" style="11" customWidth="1"/>
    <col min="6406" max="6406" width="8.28515625" style="11" customWidth="1"/>
    <col min="6407" max="6407" width="13.5703125" style="11" bestFit="1" customWidth="1"/>
    <col min="6408" max="6408" width="11" style="11" customWidth="1"/>
    <col min="6409" max="6409" width="10.85546875" style="11" customWidth="1"/>
    <col min="6410" max="6410" width="9.140625" style="11"/>
    <col min="6411" max="6411" width="14.7109375" style="11" customWidth="1"/>
    <col min="6412" max="6412" width="12" style="11" bestFit="1" customWidth="1"/>
    <col min="6413" max="6414" width="12" style="11" customWidth="1"/>
    <col min="6415" max="6415" width="3.85546875" style="11" bestFit="1" customWidth="1"/>
    <col min="6416" max="6416" width="11.42578125" style="11" customWidth="1"/>
    <col min="6417" max="6417" width="11.85546875" style="11" customWidth="1"/>
    <col min="6418" max="6418" width="10.5703125" style="11" customWidth="1"/>
    <col min="6419" max="6419" width="13.7109375" style="11" customWidth="1"/>
    <col min="6420" max="6656" width="9.140625" style="11"/>
    <col min="6657" max="6657" width="3.140625" style="11" customWidth="1"/>
    <col min="6658" max="6658" width="11.85546875" style="11" customWidth="1"/>
    <col min="6659" max="6659" width="3" style="11" customWidth="1"/>
    <col min="6660" max="6660" width="5.42578125" style="11" customWidth="1"/>
    <col min="6661" max="6661" width="9.7109375" style="11" customWidth="1"/>
    <col min="6662" max="6662" width="8.28515625" style="11" customWidth="1"/>
    <col min="6663" max="6663" width="13.5703125" style="11" bestFit="1" customWidth="1"/>
    <col min="6664" max="6664" width="11" style="11" customWidth="1"/>
    <col min="6665" max="6665" width="10.85546875" style="11" customWidth="1"/>
    <col min="6666" max="6666" width="9.140625" style="11"/>
    <col min="6667" max="6667" width="14.7109375" style="11" customWidth="1"/>
    <col min="6668" max="6668" width="12" style="11" bestFit="1" customWidth="1"/>
    <col min="6669" max="6670" width="12" style="11" customWidth="1"/>
    <col min="6671" max="6671" width="3.85546875" style="11" bestFit="1" customWidth="1"/>
    <col min="6672" max="6672" width="11.42578125" style="11" customWidth="1"/>
    <col min="6673" max="6673" width="11.85546875" style="11" customWidth="1"/>
    <col min="6674" max="6674" width="10.5703125" style="11" customWidth="1"/>
    <col min="6675" max="6675" width="13.7109375" style="11" customWidth="1"/>
    <col min="6676" max="6912" width="9.140625" style="11"/>
    <col min="6913" max="6913" width="3.140625" style="11" customWidth="1"/>
    <col min="6914" max="6914" width="11.85546875" style="11" customWidth="1"/>
    <col min="6915" max="6915" width="3" style="11" customWidth="1"/>
    <col min="6916" max="6916" width="5.42578125" style="11" customWidth="1"/>
    <col min="6917" max="6917" width="9.7109375" style="11" customWidth="1"/>
    <col min="6918" max="6918" width="8.28515625" style="11" customWidth="1"/>
    <col min="6919" max="6919" width="13.5703125" style="11" bestFit="1" customWidth="1"/>
    <col min="6920" max="6920" width="11" style="11" customWidth="1"/>
    <col min="6921" max="6921" width="10.85546875" style="11" customWidth="1"/>
    <col min="6922" max="6922" width="9.140625" style="11"/>
    <col min="6923" max="6923" width="14.7109375" style="11" customWidth="1"/>
    <col min="6924" max="6924" width="12" style="11" bestFit="1" customWidth="1"/>
    <col min="6925" max="6926" width="12" style="11" customWidth="1"/>
    <col min="6927" max="6927" width="3.85546875" style="11" bestFit="1" customWidth="1"/>
    <col min="6928" max="6928" width="11.42578125" style="11" customWidth="1"/>
    <col min="6929" max="6929" width="11.85546875" style="11" customWidth="1"/>
    <col min="6930" max="6930" width="10.5703125" style="11" customWidth="1"/>
    <col min="6931" max="6931" width="13.7109375" style="11" customWidth="1"/>
    <col min="6932" max="7168" width="9.140625" style="11"/>
    <col min="7169" max="7169" width="3.140625" style="11" customWidth="1"/>
    <col min="7170" max="7170" width="11.85546875" style="11" customWidth="1"/>
    <col min="7171" max="7171" width="3" style="11" customWidth="1"/>
    <col min="7172" max="7172" width="5.42578125" style="11" customWidth="1"/>
    <col min="7173" max="7173" width="9.7109375" style="11" customWidth="1"/>
    <col min="7174" max="7174" width="8.28515625" style="11" customWidth="1"/>
    <col min="7175" max="7175" width="13.5703125" style="11" bestFit="1" customWidth="1"/>
    <col min="7176" max="7176" width="11" style="11" customWidth="1"/>
    <col min="7177" max="7177" width="10.85546875" style="11" customWidth="1"/>
    <col min="7178" max="7178" width="9.140625" style="11"/>
    <col min="7179" max="7179" width="14.7109375" style="11" customWidth="1"/>
    <col min="7180" max="7180" width="12" style="11" bestFit="1" customWidth="1"/>
    <col min="7181" max="7182" width="12" style="11" customWidth="1"/>
    <col min="7183" max="7183" width="3.85546875" style="11" bestFit="1" customWidth="1"/>
    <col min="7184" max="7184" width="11.42578125" style="11" customWidth="1"/>
    <col min="7185" max="7185" width="11.85546875" style="11" customWidth="1"/>
    <col min="7186" max="7186" width="10.5703125" style="11" customWidth="1"/>
    <col min="7187" max="7187" width="13.7109375" style="11" customWidth="1"/>
    <col min="7188" max="7424" width="9.140625" style="11"/>
    <col min="7425" max="7425" width="3.140625" style="11" customWidth="1"/>
    <col min="7426" max="7426" width="11.85546875" style="11" customWidth="1"/>
    <col min="7427" max="7427" width="3" style="11" customWidth="1"/>
    <col min="7428" max="7428" width="5.42578125" style="11" customWidth="1"/>
    <col min="7429" max="7429" width="9.7109375" style="11" customWidth="1"/>
    <col min="7430" max="7430" width="8.28515625" style="11" customWidth="1"/>
    <col min="7431" max="7431" width="13.5703125" style="11" bestFit="1" customWidth="1"/>
    <col min="7432" max="7432" width="11" style="11" customWidth="1"/>
    <col min="7433" max="7433" width="10.85546875" style="11" customWidth="1"/>
    <col min="7434" max="7434" width="9.140625" style="11"/>
    <col min="7435" max="7435" width="14.7109375" style="11" customWidth="1"/>
    <col min="7436" max="7436" width="12" style="11" bestFit="1" customWidth="1"/>
    <col min="7437" max="7438" width="12" style="11" customWidth="1"/>
    <col min="7439" max="7439" width="3.85546875" style="11" bestFit="1" customWidth="1"/>
    <col min="7440" max="7440" width="11.42578125" style="11" customWidth="1"/>
    <col min="7441" max="7441" width="11.85546875" style="11" customWidth="1"/>
    <col min="7442" max="7442" width="10.5703125" style="11" customWidth="1"/>
    <col min="7443" max="7443" width="13.7109375" style="11" customWidth="1"/>
    <col min="7444" max="7680" width="9.140625" style="11"/>
    <col min="7681" max="7681" width="3.140625" style="11" customWidth="1"/>
    <col min="7682" max="7682" width="11.85546875" style="11" customWidth="1"/>
    <col min="7683" max="7683" width="3" style="11" customWidth="1"/>
    <col min="7684" max="7684" width="5.42578125" style="11" customWidth="1"/>
    <col min="7685" max="7685" width="9.7109375" style="11" customWidth="1"/>
    <col min="7686" max="7686" width="8.28515625" style="11" customWidth="1"/>
    <col min="7687" max="7687" width="13.5703125" style="11" bestFit="1" customWidth="1"/>
    <col min="7688" max="7688" width="11" style="11" customWidth="1"/>
    <col min="7689" max="7689" width="10.85546875" style="11" customWidth="1"/>
    <col min="7690" max="7690" width="9.140625" style="11"/>
    <col min="7691" max="7691" width="14.7109375" style="11" customWidth="1"/>
    <col min="7692" max="7692" width="12" style="11" bestFit="1" customWidth="1"/>
    <col min="7693" max="7694" width="12" style="11" customWidth="1"/>
    <col min="7695" max="7695" width="3.85546875" style="11" bestFit="1" customWidth="1"/>
    <col min="7696" max="7696" width="11.42578125" style="11" customWidth="1"/>
    <col min="7697" max="7697" width="11.85546875" style="11" customWidth="1"/>
    <col min="7698" max="7698" width="10.5703125" style="11" customWidth="1"/>
    <col min="7699" max="7699" width="13.7109375" style="11" customWidth="1"/>
    <col min="7700" max="7936" width="9.140625" style="11"/>
    <col min="7937" max="7937" width="3.140625" style="11" customWidth="1"/>
    <col min="7938" max="7938" width="11.85546875" style="11" customWidth="1"/>
    <col min="7939" max="7939" width="3" style="11" customWidth="1"/>
    <col min="7940" max="7940" width="5.42578125" style="11" customWidth="1"/>
    <col min="7941" max="7941" width="9.7109375" style="11" customWidth="1"/>
    <col min="7942" max="7942" width="8.28515625" style="11" customWidth="1"/>
    <col min="7943" max="7943" width="13.5703125" style="11" bestFit="1" customWidth="1"/>
    <col min="7944" max="7944" width="11" style="11" customWidth="1"/>
    <col min="7945" max="7945" width="10.85546875" style="11" customWidth="1"/>
    <col min="7946" max="7946" width="9.140625" style="11"/>
    <col min="7947" max="7947" width="14.7109375" style="11" customWidth="1"/>
    <col min="7948" max="7948" width="12" style="11" bestFit="1" customWidth="1"/>
    <col min="7949" max="7950" width="12" style="11" customWidth="1"/>
    <col min="7951" max="7951" width="3.85546875" style="11" bestFit="1" customWidth="1"/>
    <col min="7952" max="7952" width="11.42578125" style="11" customWidth="1"/>
    <col min="7953" max="7953" width="11.85546875" style="11" customWidth="1"/>
    <col min="7954" max="7954" width="10.5703125" style="11" customWidth="1"/>
    <col min="7955" max="7955" width="13.7109375" style="11" customWidth="1"/>
    <col min="7956" max="8192" width="9.140625" style="11"/>
    <col min="8193" max="8193" width="3.140625" style="11" customWidth="1"/>
    <col min="8194" max="8194" width="11.85546875" style="11" customWidth="1"/>
    <col min="8195" max="8195" width="3" style="11" customWidth="1"/>
    <col min="8196" max="8196" width="5.42578125" style="11" customWidth="1"/>
    <col min="8197" max="8197" width="9.7109375" style="11" customWidth="1"/>
    <col min="8198" max="8198" width="8.28515625" style="11" customWidth="1"/>
    <col min="8199" max="8199" width="13.5703125" style="11" bestFit="1" customWidth="1"/>
    <col min="8200" max="8200" width="11" style="11" customWidth="1"/>
    <col min="8201" max="8201" width="10.85546875" style="11" customWidth="1"/>
    <col min="8202" max="8202" width="9.140625" style="11"/>
    <col min="8203" max="8203" width="14.7109375" style="11" customWidth="1"/>
    <col min="8204" max="8204" width="12" style="11" bestFit="1" customWidth="1"/>
    <col min="8205" max="8206" width="12" style="11" customWidth="1"/>
    <col min="8207" max="8207" width="3.85546875" style="11" bestFit="1" customWidth="1"/>
    <col min="8208" max="8208" width="11.42578125" style="11" customWidth="1"/>
    <col min="8209" max="8209" width="11.85546875" style="11" customWidth="1"/>
    <col min="8210" max="8210" width="10.5703125" style="11" customWidth="1"/>
    <col min="8211" max="8211" width="13.7109375" style="11" customWidth="1"/>
    <col min="8212" max="8448" width="9.140625" style="11"/>
    <col min="8449" max="8449" width="3.140625" style="11" customWidth="1"/>
    <col min="8450" max="8450" width="11.85546875" style="11" customWidth="1"/>
    <col min="8451" max="8451" width="3" style="11" customWidth="1"/>
    <col min="8452" max="8452" width="5.42578125" style="11" customWidth="1"/>
    <col min="8453" max="8453" width="9.7109375" style="11" customWidth="1"/>
    <col min="8454" max="8454" width="8.28515625" style="11" customWidth="1"/>
    <col min="8455" max="8455" width="13.5703125" style="11" bestFit="1" customWidth="1"/>
    <col min="8456" max="8456" width="11" style="11" customWidth="1"/>
    <col min="8457" max="8457" width="10.85546875" style="11" customWidth="1"/>
    <col min="8458" max="8458" width="9.140625" style="11"/>
    <col min="8459" max="8459" width="14.7109375" style="11" customWidth="1"/>
    <col min="8460" max="8460" width="12" style="11" bestFit="1" customWidth="1"/>
    <col min="8461" max="8462" width="12" style="11" customWidth="1"/>
    <col min="8463" max="8463" width="3.85546875" style="11" bestFit="1" customWidth="1"/>
    <col min="8464" max="8464" width="11.42578125" style="11" customWidth="1"/>
    <col min="8465" max="8465" width="11.85546875" style="11" customWidth="1"/>
    <col min="8466" max="8466" width="10.5703125" style="11" customWidth="1"/>
    <col min="8467" max="8467" width="13.7109375" style="11" customWidth="1"/>
    <col min="8468" max="8704" width="9.140625" style="11"/>
    <col min="8705" max="8705" width="3.140625" style="11" customWidth="1"/>
    <col min="8706" max="8706" width="11.85546875" style="11" customWidth="1"/>
    <col min="8707" max="8707" width="3" style="11" customWidth="1"/>
    <col min="8708" max="8708" width="5.42578125" style="11" customWidth="1"/>
    <col min="8709" max="8709" width="9.7109375" style="11" customWidth="1"/>
    <col min="8710" max="8710" width="8.28515625" style="11" customWidth="1"/>
    <col min="8711" max="8711" width="13.5703125" style="11" bestFit="1" customWidth="1"/>
    <col min="8712" max="8712" width="11" style="11" customWidth="1"/>
    <col min="8713" max="8713" width="10.85546875" style="11" customWidth="1"/>
    <col min="8714" max="8714" width="9.140625" style="11"/>
    <col min="8715" max="8715" width="14.7109375" style="11" customWidth="1"/>
    <col min="8716" max="8716" width="12" style="11" bestFit="1" customWidth="1"/>
    <col min="8717" max="8718" width="12" style="11" customWidth="1"/>
    <col min="8719" max="8719" width="3.85546875" style="11" bestFit="1" customWidth="1"/>
    <col min="8720" max="8720" width="11.42578125" style="11" customWidth="1"/>
    <col min="8721" max="8721" width="11.85546875" style="11" customWidth="1"/>
    <col min="8722" max="8722" width="10.5703125" style="11" customWidth="1"/>
    <col min="8723" max="8723" width="13.7109375" style="11" customWidth="1"/>
    <col min="8724" max="8960" width="9.140625" style="11"/>
    <col min="8961" max="8961" width="3.140625" style="11" customWidth="1"/>
    <col min="8962" max="8962" width="11.85546875" style="11" customWidth="1"/>
    <col min="8963" max="8963" width="3" style="11" customWidth="1"/>
    <col min="8964" max="8964" width="5.42578125" style="11" customWidth="1"/>
    <col min="8965" max="8965" width="9.7109375" style="11" customWidth="1"/>
    <col min="8966" max="8966" width="8.28515625" style="11" customWidth="1"/>
    <col min="8967" max="8967" width="13.5703125" style="11" bestFit="1" customWidth="1"/>
    <col min="8968" max="8968" width="11" style="11" customWidth="1"/>
    <col min="8969" max="8969" width="10.85546875" style="11" customWidth="1"/>
    <col min="8970" max="8970" width="9.140625" style="11"/>
    <col min="8971" max="8971" width="14.7109375" style="11" customWidth="1"/>
    <col min="8972" max="8972" width="12" style="11" bestFit="1" customWidth="1"/>
    <col min="8973" max="8974" width="12" style="11" customWidth="1"/>
    <col min="8975" max="8975" width="3.85546875" style="11" bestFit="1" customWidth="1"/>
    <col min="8976" max="8976" width="11.42578125" style="11" customWidth="1"/>
    <col min="8977" max="8977" width="11.85546875" style="11" customWidth="1"/>
    <col min="8978" max="8978" width="10.5703125" style="11" customWidth="1"/>
    <col min="8979" max="8979" width="13.7109375" style="11" customWidth="1"/>
    <col min="8980" max="9216" width="9.140625" style="11"/>
    <col min="9217" max="9217" width="3.140625" style="11" customWidth="1"/>
    <col min="9218" max="9218" width="11.85546875" style="11" customWidth="1"/>
    <col min="9219" max="9219" width="3" style="11" customWidth="1"/>
    <col min="9220" max="9220" width="5.42578125" style="11" customWidth="1"/>
    <col min="9221" max="9221" width="9.7109375" style="11" customWidth="1"/>
    <col min="9222" max="9222" width="8.28515625" style="11" customWidth="1"/>
    <col min="9223" max="9223" width="13.5703125" style="11" bestFit="1" customWidth="1"/>
    <col min="9224" max="9224" width="11" style="11" customWidth="1"/>
    <col min="9225" max="9225" width="10.85546875" style="11" customWidth="1"/>
    <col min="9226" max="9226" width="9.140625" style="11"/>
    <col min="9227" max="9227" width="14.7109375" style="11" customWidth="1"/>
    <col min="9228" max="9228" width="12" style="11" bestFit="1" customWidth="1"/>
    <col min="9229" max="9230" width="12" style="11" customWidth="1"/>
    <col min="9231" max="9231" width="3.85546875" style="11" bestFit="1" customWidth="1"/>
    <col min="9232" max="9232" width="11.42578125" style="11" customWidth="1"/>
    <col min="9233" max="9233" width="11.85546875" style="11" customWidth="1"/>
    <col min="9234" max="9234" width="10.5703125" style="11" customWidth="1"/>
    <col min="9235" max="9235" width="13.7109375" style="11" customWidth="1"/>
    <col min="9236" max="9472" width="9.140625" style="11"/>
    <col min="9473" max="9473" width="3.140625" style="11" customWidth="1"/>
    <col min="9474" max="9474" width="11.85546875" style="11" customWidth="1"/>
    <col min="9475" max="9475" width="3" style="11" customWidth="1"/>
    <col min="9476" max="9476" width="5.42578125" style="11" customWidth="1"/>
    <col min="9477" max="9477" width="9.7109375" style="11" customWidth="1"/>
    <col min="9478" max="9478" width="8.28515625" style="11" customWidth="1"/>
    <col min="9479" max="9479" width="13.5703125" style="11" bestFit="1" customWidth="1"/>
    <col min="9480" max="9480" width="11" style="11" customWidth="1"/>
    <col min="9481" max="9481" width="10.85546875" style="11" customWidth="1"/>
    <col min="9482" max="9482" width="9.140625" style="11"/>
    <col min="9483" max="9483" width="14.7109375" style="11" customWidth="1"/>
    <col min="9484" max="9484" width="12" style="11" bestFit="1" customWidth="1"/>
    <col min="9485" max="9486" width="12" style="11" customWidth="1"/>
    <col min="9487" max="9487" width="3.85546875" style="11" bestFit="1" customWidth="1"/>
    <col min="9488" max="9488" width="11.42578125" style="11" customWidth="1"/>
    <col min="9489" max="9489" width="11.85546875" style="11" customWidth="1"/>
    <col min="9490" max="9490" width="10.5703125" style="11" customWidth="1"/>
    <col min="9491" max="9491" width="13.7109375" style="11" customWidth="1"/>
    <col min="9492" max="9728" width="9.140625" style="11"/>
    <col min="9729" max="9729" width="3.140625" style="11" customWidth="1"/>
    <col min="9730" max="9730" width="11.85546875" style="11" customWidth="1"/>
    <col min="9731" max="9731" width="3" style="11" customWidth="1"/>
    <col min="9732" max="9732" width="5.42578125" style="11" customWidth="1"/>
    <col min="9733" max="9733" width="9.7109375" style="11" customWidth="1"/>
    <col min="9734" max="9734" width="8.28515625" style="11" customWidth="1"/>
    <col min="9735" max="9735" width="13.5703125" style="11" bestFit="1" customWidth="1"/>
    <col min="9736" max="9736" width="11" style="11" customWidth="1"/>
    <col min="9737" max="9737" width="10.85546875" style="11" customWidth="1"/>
    <col min="9738" max="9738" width="9.140625" style="11"/>
    <col min="9739" max="9739" width="14.7109375" style="11" customWidth="1"/>
    <col min="9740" max="9740" width="12" style="11" bestFit="1" customWidth="1"/>
    <col min="9741" max="9742" width="12" style="11" customWidth="1"/>
    <col min="9743" max="9743" width="3.85546875" style="11" bestFit="1" customWidth="1"/>
    <col min="9744" max="9744" width="11.42578125" style="11" customWidth="1"/>
    <col min="9745" max="9745" width="11.85546875" style="11" customWidth="1"/>
    <col min="9746" max="9746" width="10.5703125" style="11" customWidth="1"/>
    <col min="9747" max="9747" width="13.7109375" style="11" customWidth="1"/>
    <col min="9748" max="9984" width="9.140625" style="11"/>
    <col min="9985" max="9985" width="3.140625" style="11" customWidth="1"/>
    <col min="9986" max="9986" width="11.85546875" style="11" customWidth="1"/>
    <col min="9987" max="9987" width="3" style="11" customWidth="1"/>
    <col min="9988" max="9988" width="5.42578125" style="11" customWidth="1"/>
    <col min="9989" max="9989" width="9.7109375" style="11" customWidth="1"/>
    <col min="9990" max="9990" width="8.28515625" style="11" customWidth="1"/>
    <col min="9991" max="9991" width="13.5703125" style="11" bestFit="1" customWidth="1"/>
    <col min="9992" max="9992" width="11" style="11" customWidth="1"/>
    <col min="9993" max="9993" width="10.85546875" style="11" customWidth="1"/>
    <col min="9994" max="9994" width="9.140625" style="11"/>
    <col min="9995" max="9995" width="14.7109375" style="11" customWidth="1"/>
    <col min="9996" max="9996" width="12" style="11" bestFit="1" customWidth="1"/>
    <col min="9997" max="9998" width="12" style="11" customWidth="1"/>
    <col min="9999" max="9999" width="3.85546875" style="11" bestFit="1" customWidth="1"/>
    <col min="10000" max="10000" width="11.42578125" style="11" customWidth="1"/>
    <col min="10001" max="10001" width="11.85546875" style="11" customWidth="1"/>
    <col min="10002" max="10002" width="10.5703125" style="11" customWidth="1"/>
    <col min="10003" max="10003" width="13.7109375" style="11" customWidth="1"/>
    <col min="10004" max="10240" width="9.140625" style="11"/>
    <col min="10241" max="10241" width="3.140625" style="11" customWidth="1"/>
    <col min="10242" max="10242" width="11.85546875" style="11" customWidth="1"/>
    <col min="10243" max="10243" width="3" style="11" customWidth="1"/>
    <col min="10244" max="10244" width="5.42578125" style="11" customWidth="1"/>
    <col min="10245" max="10245" width="9.7109375" style="11" customWidth="1"/>
    <col min="10246" max="10246" width="8.28515625" style="11" customWidth="1"/>
    <col min="10247" max="10247" width="13.5703125" style="11" bestFit="1" customWidth="1"/>
    <col min="10248" max="10248" width="11" style="11" customWidth="1"/>
    <col min="10249" max="10249" width="10.85546875" style="11" customWidth="1"/>
    <col min="10250" max="10250" width="9.140625" style="11"/>
    <col min="10251" max="10251" width="14.7109375" style="11" customWidth="1"/>
    <col min="10252" max="10252" width="12" style="11" bestFit="1" customWidth="1"/>
    <col min="10253" max="10254" width="12" style="11" customWidth="1"/>
    <col min="10255" max="10255" width="3.85546875" style="11" bestFit="1" customWidth="1"/>
    <col min="10256" max="10256" width="11.42578125" style="11" customWidth="1"/>
    <col min="10257" max="10257" width="11.85546875" style="11" customWidth="1"/>
    <col min="10258" max="10258" width="10.5703125" style="11" customWidth="1"/>
    <col min="10259" max="10259" width="13.7109375" style="11" customWidth="1"/>
    <col min="10260" max="10496" width="9.140625" style="11"/>
    <col min="10497" max="10497" width="3.140625" style="11" customWidth="1"/>
    <col min="10498" max="10498" width="11.85546875" style="11" customWidth="1"/>
    <col min="10499" max="10499" width="3" style="11" customWidth="1"/>
    <col min="10500" max="10500" width="5.42578125" style="11" customWidth="1"/>
    <col min="10501" max="10501" width="9.7109375" style="11" customWidth="1"/>
    <col min="10502" max="10502" width="8.28515625" style="11" customWidth="1"/>
    <col min="10503" max="10503" width="13.5703125" style="11" bestFit="1" customWidth="1"/>
    <col min="10504" max="10504" width="11" style="11" customWidth="1"/>
    <col min="10505" max="10505" width="10.85546875" style="11" customWidth="1"/>
    <col min="10506" max="10506" width="9.140625" style="11"/>
    <col min="10507" max="10507" width="14.7109375" style="11" customWidth="1"/>
    <col min="10508" max="10508" width="12" style="11" bestFit="1" customWidth="1"/>
    <col min="10509" max="10510" width="12" style="11" customWidth="1"/>
    <col min="10511" max="10511" width="3.85546875" style="11" bestFit="1" customWidth="1"/>
    <col min="10512" max="10512" width="11.42578125" style="11" customWidth="1"/>
    <col min="10513" max="10513" width="11.85546875" style="11" customWidth="1"/>
    <col min="10514" max="10514" width="10.5703125" style="11" customWidth="1"/>
    <col min="10515" max="10515" width="13.7109375" style="11" customWidth="1"/>
    <col min="10516" max="10752" width="9.140625" style="11"/>
    <col min="10753" max="10753" width="3.140625" style="11" customWidth="1"/>
    <col min="10754" max="10754" width="11.85546875" style="11" customWidth="1"/>
    <col min="10755" max="10755" width="3" style="11" customWidth="1"/>
    <col min="10756" max="10756" width="5.42578125" style="11" customWidth="1"/>
    <col min="10757" max="10757" width="9.7109375" style="11" customWidth="1"/>
    <col min="10758" max="10758" width="8.28515625" style="11" customWidth="1"/>
    <col min="10759" max="10759" width="13.5703125" style="11" bestFit="1" customWidth="1"/>
    <col min="10760" max="10760" width="11" style="11" customWidth="1"/>
    <col min="10761" max="10761" width="10.85546875" style="11" customWidth="1"/>
    <col min="10762" max="10762" width="9.140625" style="11"/>
    <col min="10763" max="10763" width="14.7109375" style="11" customWidth="1"/>
    <col min="10764" max="10764" width="12" style="11" bestFit="1" customWidth="1"/>
    <col min="10765" max="10766" width="12" style="11" customWidth="1"/>
    <col min="10767" max="10767" width="3.85546875" style="11" bestFit="1" customWidth="1"/>
    <col min="10768" max="10768" width="11.42578125" style="11" customWidth="1"/>
    <col min="10769" max="10769" width="11.85546875" style="11" customWidth="1"/>
    <col min="10770" max="10770" width="10.5703125" style="11" customWidth="1"/>
    <col min="10771" max="10771" width="13.7109375" style="11" customWidth="1"/>
    <col min="10772" max="11008" width="9.140625" style="11"/>
    <col min="11009" max="11009" width="3.140625" style="11" customWidth="1"/>
    <col min="11010" max="11010" width="11.85546875" style="11" customWidth="1"/>
    <col min="11011" max="11011" width="3" style="11" customWidth="1"/>
    <col min="11012" max="11012" width="5.42578125" style="11" customWidth="1"/>
    <col min="11013" max="11013" width="9.7109375" style="11" customWidth="1"/>
    <col min="11014" max="11014" width="8.28515625" style="11" customWidth="1"/>
    <col min="11015" max="11015" width="13.5703125" style="11" bestFit="1" customWidth="1"/>
    <col min="11016" max="11016" width="11" style="11" customWidth="1"/>
    <col min="11017" max="11017" width="10.85546875" style="11" customWidth="1"/>
    <col min="11018" max="11018" width="9.140625" style="11"/>
    <col min="11019" max="11019" width="14.7109375" style="11" customWidth="1"/>
    <col min="11020" max="11020" width="12" style="11" bestFit="1" customWidth="1"/>
    <col min="11021" max="11022" width="12" style="11" customWidth="1"/>
    <col min="11023" max="11023" width="3.85546875" style="11" bestFit="1" customWidth="1"/>
    <col min="11024" max="11024" width="11.42578125" style="11" customWidth="1"/>
    <col min="11025" max="11025" width="11.85546875" style="11" customWidth="1"/>
    <col min="11026" max="11026" width="10.5703125" style="11" customWidth="1"/>
    <col min="11027" max="11027" width="13.7109375" style="11" customWidth="1"/>
    <col min="11028" max="11264" width="9.140625" style="11"/>
    <col min="11265" max="11265" width="3.140625" style="11" customWidth="1"/>
    <col min="11266" max="11266" width="11.85546875" style="11" customWidth="1"/>
    <col min="11267" max="11267" width="3" style="11" customWidth="1"/>
    <col min="11268" max="11268" width="5.42578125" style="11" customWidth="1"/>
    <col min="11269" max="11269" width="9.7109375" style="11" customWidth="1"/>
    <col min="11270" max="11270" width="8.28515625" style="11" customWidth="1"/>
    <col min="11271" max="11271" width="13.5703125" style="11" bestFit="1" customWidth="1"/>
    <col min="11272" max="11272" width="11" style="11" customWidth="1"/>
    <col min="11273" max="11273" width="10.85546875" style="11" customWidth="1"/>
    <col min="11274" max="11274" width="9.140625" style="11"/>
    <col min="11275" max="11275" width="14.7109375" style="11" customWidth="1"/>
    <col min="11276" max="11276" width="12" style="11" bestFit="1" customWidth="1"/>
    <col min="11277" max="11278" width="12" style="11" customWidth="1"/>
    <col min="11279" max="11279" width="3.85546875" style="11" bestFit="1" customWidth="1"/>
    <col min="11280" max="11280" width="11.42578125" style="11" customWidth="1"/>
    <col min="11281" max="11281" width="11.85546875" style="11" customWidth="1"/>
    <col min="11282" max="11282" width="10.5703125" style="11" customWidth="1"/>
    <col min="11283" max="11283" width="13.7109375" style="11" customWidth="1"/>
    <col min="11284" max="11520" width="9.140625" style="11"/>
    <col min="11521" max="11521" width="3.140625" style="11" customWidth="1"/>
    <col min="11522" max="11522" width="11.85546875" style="11" customWidth="1"/>
    <col min="11523" max="11523" width="3" style="11" customWidth="1"/>
    <col min="11524" max="11524" width="5.42578125" style="11" customWidth="1"/>
    <col min="11525" max="11525" width="9.7109375" style="11" customWidth="1"/>
    <col min="11526" max="11526" width="8.28515625" style="11" customWidth="1"/>
    <col min="11527" max="11527" width="13.5703125" style="11" bestFit="1" customWidth="1"/>
    <col min="11528" max="11528" width="11" style="11" customWidth="1"/>
    <col min="11529" max="11529" width="10.85546875" style="11" customWidth="1"/>
    <col min="11530" max="11530" width="9.140625" style="11"/>
    <col min="11531" max="11531" width="14.7109375" style="11" customWidth="1"/>
    <col min="11532" max="11532" width="12" style="11" bestFit="1" customWidth="1"/>
    <col min="11533" max="11534" width="12" style="11" customWidth="1"/>
    <col min="11535" max="11535" width="3.85546875" style="11" bestFit="1" customWidth="1"/>
    <col min="11536" max="11536" width="11.42578125" style="11" customWidth="1"/>
    <col min="11537" max="11537" width="11.85546875" style="11" customWidth="1"/>
    <col min="11538" max="11538" width="10.5703125" style="11" customWidth="1"/>
    <col min="11539" max="11539" width="13.7109375" style="11" customWidth="1"/>
    <col min="11540" max="11776" width="9.140625" style="11"/>
    <col min="11777" max="11777" width="3.140625" style="11" customWidth="1"/>
    <col min="11778" max="11778" width="11.85546875" style="11" customWidth="1"/>
    <col min="11779" max="11779" width="3" style="11" customWidth="1"/>
    <col min="11780" max="11780" width="5.42578125" style="11" customWidth="1"/>
    <col min="11781" max="11781" width="9.7109375" style="11" customWidth="1"/>
    <col min="11782" max="11782" width="8.28515625" style="11" customWidth="1"/>
    <col min="11783" max="11783" width="13.5703125" style="11" bestFit="1" customWidth="1"/>
    <col min="11784" max="11784" width="11" style="11" customWidth="1"/>
    <col min="11785" max="11785" width="10.85546875" style="11" customWidth="1"/>
    <col min="11786" max="11786" width="9.140625" style="11"/>
    <col min="11787" max="11787" width="14.7109375" style="11" customWidth="1"/>
    <col min="11788" max="11788" width="12" style="11" bestFit="1" customWidth="1"/>
    <col min="11789" max="11790" width="12" style="11" customWidth="1"/>
    <col min="11791" max="11791" width="3.85546875" style="11" bestFit="1" customWidth="1"/>
    <col min="11792" max="11792" width="11.42578125" style="11" customWidth="1"/>
    <col min="11793" max="11793" width="11.85546875" style="11" customWidth="1"/>
    <col min="11794" max="11794" width="10.5703125" style="11" customWidth="1"/>
    <col min="11795" max="11795" width="13.7109375" style="11" customWidth="1"/>
    <col min="11796" max="12032" width="9.140625" style="11"/>
    <col min="12033" max="12033" width="3.140625" style="11" customWidth="1"/>
    <col min="12034" max="12034" width="11.85546875" style="11" customWidth="1"/>
    <col min="12035" max="12035" width="3" style="11" customWidth="1"/>
    <col min="12036" max="12036" width="5.42578125" style="11" customWidth="1"/>
    <col min="12037" max="12037" width="9.7109375" style="11" customWidth="1"/>
    <col min="12038" max="12038" width="8.28515625" style="11" customWidth="1"/>
    <col min="12039" max="12039" width="13.5703125" style="11" bestFit="1" customWidth="1"/>
    <col min="12040" max="12040" width="11" style="11" customWidth="1"/>
    <col min="12041" max="12041" width="10.85546875" style="11" customWidth="1"/>
    <col min="12042" max="12042" width="9.140625" style="11"/>
    <col min="12043" max="12043" width="14.7109375" style="11" customWidth="1"/>
    <col min="12044" max="12044" width="12" style="11" bestFit="1" customWidth="1"/>
    <col min="12045" max="12046" width="12" style="11" customWidth="1"/>
    <col min="12047" max="12047" width="3.85546875" style="11" bestFit="1" customWidth="1"/>
    <col min="12048" max="12048" width="11.42578125" style="11" customWidth="1"/>
    <col min="12049" max="12049" width="11.85546875" style="11" customWidth="1"/>
    <col min="12050" max="12050" width="10.5703125" style="11" customWidth="1"/>
    <col min="12051" max="12051" width="13.7109375" style="11" customWidth="1"/>
    <col min="12052" max="12288" width="9.140625" style="11"/>
    <col min="12289" max="12289" width="3.140625" style="11" customWidth="1"/>
    <col min="12290" max="12290" width="11.85546875" style="11" customWidth="1"/>
    <col min="12291" max="12291" width="3" style="11" customWidth="1"/>
    <col min="12292" max="12292" width="5.42578125" style="11" customWidth="1"/>
    <col min="12293" max="12293" width="9.7109375" style="11" customWidth="1"/>
    <col min="12294" max="12294" width="8.28515625" style="11" customWidth="1"/>
    <col min="12295" max="12295" width="13.5703125" style="11" bestFit="1" customWidth="1"/>
    <col min="12296" max="12296" width="11" style="11" customWidth="1"/>
    <col min="12297" max="12297" width="10.85546875" style="11" customWidth="1"/>
    <col min="12298" max="12298" width="9.140625" style="11"/>
    <col min="12299" max="12299" width="14.7109375" style="11" customWidth="1"/>
    <col min="12300" max="12300" width="12" style="11" bestFit="1" customWidth="1"/>
    <col min="12301" max="12302" width="12" style="11" customWidth="1"/>
    <col min="12303" max="12303" width="3.85546875" style="11" bestFit="1" customWidth="1"/>
    <col min="12304" max="12304" width="11.42578125" style="11" customWidth="1"/>
    <col min="12305" max="12305" width="11.85546875" style="11" customWidth="1"/>
    <col min="12306" max="12306" width="10.5703125" style="11" customWidth="1"/>
    <col min="12307" max="12307" width="13.7109375" style="11" customWidth="1"/>
    <col min="12308" max="12544" width="9.140625" style="11"/>
    <col min="12545" max="12545" width="3.140625" style="11" customWidth="1"/>
    <col min="12546" max="12546" width="11.85546875" style="11" customWidth="1"/>
    <col min="12547" max="12547" width="3" style="11" customWidth="1"/>
    <col min="12548" max="12548" width="5.42578125" style="11" customWidth="1"/>
    <col min="12549" max="12549" width="9.7109375" style="11" customWidth="1"/>
    <col min="12550" max="12550" width="8.28515625" style="11" customWidth="1"/>
    <col min="12551" max="12551" width="13.5703125" style="11" bestFit="1" customWidth="1"/>
    <col min="12552" max="12552" width="11" style="11" customWidth="1"/>
    <col min="12553" max="12553" width="10.85546875" style="11" customWidth="1"/>
    <col min="12554" max="12554" width="9.140625" style="11"/>
    <col min="12555" max="12555" width="14.7109375" style="11" customWidth="1"/>
    <col min="12556" max="12556" width="12" style="11" bestFit="1" customWidth="1"/>
    <col min="12557" max="12558" width="12" style="11" customWidth="1"/>
    <col min="12559" max="12559" width="3.85546875" style="11" bestFit="1" customWidth="1"/>
    <col min="12560" max="12560" width="11.42578125" style="11" customWidth="1"/>
    <col min="12561" max="12561" width="11.85546875" style="11" customWidth="1"/>
    <col min="12562" max="12562" width="10.5703125" style="11" customWidth="1"/>
    <col min="12563" max="12563" width="13.7109375" style="11" customWidth="1"/>
    <col min="12564" max="12800" width="9.140625" style="11"/>
    <col min="12801" max="12801" width="3.140625" style="11" customWidth="1"/>
    <col min="12802" max="12802" width="11.85546875" style="11" customWidth="1"/>
    <col min="12803" max="12803" width="3" style="11" customWidth="1"/>
    <col min="12804" max="12804" width="5.42578125" style="11" customWidth="1"/>
    <col min="12805" max="12805" width="9.7109375" style="11" customWidth="1"/>
    <col min="12806" max="12806" width="8.28515625" style="11" customWidth="1"/>
    <col min="12807" max="12807" width="13.5703125" style="11" bestFit="1" customWidth="1"/>
    <col min="12808" max="12808" width="11" style="11" customWidth="1"/>
    <col min="12809" max="12809" width="10.85546875" style="11" customWidth="1"/>
    <col min="12810" max="12810" width="9.140625" style="11"/>
    <col min="12811" max="12811" width="14.7109375" style="11" customWidth="1"/>
    <col min="12812" max="12812" width="12" style="11" bestFit="1" customWidth="1"/>
    <col min="12813" max="12814" width="12" style="11" customWidth="1"/>
    <col min="12815" max="12815" width="3.85546875" style="11" bestFit="1" customWidth="1"/>
    <col min="12816" max="12816" width="11.42578125" style="11" customWidth="1"/>
    <col min="12817" max="12817" width="11.85546875" style="11" customWidth="1"/>
    <col min="12818" max="12818" width="10.5703125" style="11" customWidth="1"/>
    <col min="12819" max="12819" width="13.7109375" style="11" customWidth="1"/>
    <col min="12820" max="13056" width="9.140625" style="11"/>
    <col min="13057" max="13057" width="3.140625" style="11" customWidth="1"/>
    <col min="13058" max="13058" width="11.85546875" style="11" customWidth="1"/>
    <col min="13059" max="13059" width="3" style="11" customWidth="1"/>
    <col min="13060" max="13060" width="5.42578125" style="11" customWidth="1"/>
    <col min="13061" max="13061" width="9.7109375" style="11" customWidth="1"/>
    <col min="13062" max="13062" width="8.28515625" style="11" customWidth="1"/>
    <col min="13063" max="13063" width="13.5703125" style="11" bestFit="1" customWidth="1"/>
    <col min="13064" max="13064" width="11" style="11" customWidth="1"/>
    <col min="13065" max="13065" width="10.85546875" style="11" customWidth="1"/>
    <col min="13066" max="13066" width="9.140625" style="11"/>
    <col min="13067" max="13067" width="14.7109375" style="11" customWidth="1"/>
    <col min="13068" max="13068" width="12" style="11" bestFit="1" customWidth="1"/>
    <col min="13069" max="13070" width="12" style="11" customWidth="1"/>
    <col min="13071" max="13071" width="3.85546875" style="11" bestFit="1" customWidth="1"/>
    <col min="13072" max="13072" width="11.42578125" style="11" customWidth="1"/>
    <col min="13073" max="13073" width="11.85546875" style="11" customWidth="1"/>
    <col min="13074" max="13074" width="10.5703125" style="11" customWidth="1"/>
    <col min="13075" max="13075" width="13.7109375" style="11" customWidth="1"/>
    <col min="13076" max="13312" width="9.140625" style="11"/>
    <col min="13313" max="13313" width="3.140625" style="11" customWidth="1"/>
    <col min="13314" max="13314" width="11.85546875" style="11" customWidth="1"/>
    <col min="13315" max="13315" width="3" style="11" customWidth="1"/>
    <col min="13316" max="13316" width="5.42578125" style="11" customWidth="1"/>
    <col min="13317" max="13317" width="9.7109375" style="11" customWidth="1"/>
    <col min="13318" max="13318" width="8.28515625" style="11" customWidth="1"/>
    <col min="13319" max="13319" width="13.5703125" style="11" bestFit="1" customWidth="1"/>
    <col min="13320" max="13320" width="11" style="11" customWidth="1"/>
    <col min="13321" max="13321" width="10.85546875" style="11" customWidth="1"/>
    <col min="13322" max="13322" width="9.140625" style="11"/>
    <col min="13323" max="13323" width="14.7109375" style="11" customWidth="1"/>
    <col min="13324" max="13324" width="12" style="11" bestFit="1" customWidth="1"/>
    <col min="13325" max="13326" width="12" style="11" customWidth="1"/>
    <col min="13327" max="13327" width="3.85546875" style="11" bestFit="1" customWidth="1"/>
    <col min="13328" max="13328" width="11.42578125" style="11" customWidth="1"/>
    <col min="13329" max="13329" width="11.85546875" style="11" customWidth="1"/>
    <col min="13330" max="13330" width="10.5703125" style="11" customWidth="1"/>
    <col min="13331" max="13331" width="13.7109375" style="11" customWidth="1"/>
    <col min="13332" max="13568" width="9.140625" style="11"/>
    <col min="13569" max="13569" width="3.140625" style="11" customWidth="1"/>
    <col min="13570" max="13570" width="11.85546875" style="11" customWidth="1"/>
    <col min="13571" max="13571" width="3" style="11" customWidth="1"/>
    <col min="13572" max="13572" width="5.42578125" style="11" customWidth="1"/>
    <col min="13573" max="13573" width="9.7109375" style="11" customWidth="1"/>
    <col min="13574" max="13574" width="8.28515625" style="11" customWidth="1"/>
    <col min="13575" max="13575" width="13.5703125" style="11" bestFit="1" customWidth="1"/>
    <col min="13576" max="13576" width="11" style="11" customWidth="1"/>
    <col min="13577" max="13577" width="10.85546875" style="11" customWidth="1"/>
    <col min="13578" max="13578" width="9.140625" style="11"/>
    <col min="13579" max="13579" width="14.7109375" style="11" customWidth="1"/>
    <col min="13580" max="13580" width="12" style="11" bestFit="1" customWidth="1"/>
    <col min="13581" max="13582" width="12" style="11" customWidth="1"/>
    <col min="13583" max="13583" width="3.85546875" style="11" bestFit="1" customWidth="1"/>
    <col min="13584" max="13584" width="11.42578125" style="11" customWidth="1"/>
    <col min="13585" max="13585" width="11.85546875" style="11" customWidth="1"/>
    <col min="13586" max="13586" width="10.5703125" style="11" customWidth="1"/>
    <col min="13587" max="13587" width="13.7109375" style="11" customWidth="1"/>
    <col min="13588" max="13824" width="9.140625" style="11"/>
    <col min="13825" max="13825" width="3.140625" style="11" customWidth="1"/>
    <col min="13826" max="13826" width="11.85546875" style="11" customWidth="1"/>
    <col min="13827" max="13827" width="3" style="11" customWidth="1"/>
    <col min="13828" max="13828" width="5.42578125" style="11" customWidth="1"/>
    <col min="13829" max="13829" width="9.7109375" style="11" customWidth="1"/>
    <col min="13830" max="13830" width="8.28515625" style="11" customWidth="1"/>
    <col min="13831" max="13831" width="13.5703125" style="11" bestFit="1" customWidth="1"/>
    <col min="13832" max="13832" width="11" style="11" customWidth="1"/>
    <col min="13833" max="13833" width="10.85546875" style="11" customWidth="1"/>
    <col min="13834" max="13834" width="9.140625" style="11"/>
    <col min="13835" max="13835" width="14.7109375" style="11" customWidth="1"/>
    <col min="13836" max="13836" width="12" style="11" bestFit="1" customWidth="1"/>
    <col min="13837" max="13838" width="12" style="11" customWidth="1"/>
    <col min="13839" max="13839" width="3.85546875" style="11" bestFit="1" customWidth="1"/>
    <col min="13840" max="13840" width="11.42578125" style="11" customWidth="1"/>
    <col min="13841" max="13841" width="11.85546875" style="11" customWidth="1"/>
    <col min="13842" max="13842" width="10.5703125" style="11" customWidth="1"/>
    <col min="13843" max="13843" width="13.7109375" style="11" customWidth="1"/>
    <col min="13844" max="14080" width="9.140625" style="11"/>
    <col min="14081" max="14081" width="3.140625" style="11" customWidth="1"/>
    <col min="14082" max="14082" width="11.85546875" style="11" customWidth="1"/>
    <col min="14083" max="14083" width="3" style="11" customWidth="1"/>
    <col min="14084" max="14084" width="5.42578125" style="11" customWidth="1"/>
    <col min="14085" max="14085" width="9.7109375" style="11" customWidth="1"/>
    <col min="14086" max="14086" width="8.28515625" style="11" customWidth="1"/>
    <col min="14087" max="14087" width="13.5703125" style="11" bestFit="1" customWidth="1"/>
    <col min="14088" max="14088" width="11" style="11" customWidth="1"/>
    <col min="14089" max="14089" width="10.85546875" style="11" customWidth="1"/>
    <col min="14090" max="14090" width="9.140625" style="11"/>
    <col min="14091" max="14091" width="14.7109375" style="11" customWidth="1"/>
    <col min="14092" max="14092" width="12" style="11" bestFit="1" customWidth="1"/>
    <col min="14093" max="14094" width="12" style="11" customWidth="1"/>
    <col min="14095" max="14095" width="3.85546875" style="11" bestFit="1" customWidth="1"/>
    <col min="14096" max="14096" width="11.42578125" style="11" customWidth="1"/>
    <col min="14097" max="14097" width="11.85546875" style="11" customWidth="1"/>
    <col min="14098" max="14098" width="10.5703125" style="11" customWidth="1"/>
    <col min="14099" max="14099" width="13.7109375" style="11" customWidth="1"/>
    <col min="14100" max="14336" width="9.140625" style="11"/>
    <col min="14337" max="14337" width="3.140625" style="11" customWidth="1"/>
    <col min="14338" max="14338" width="11.85546875" style="11" customWidth="1"/>
    <col min="14339" max="14339" width="3" style="11" customWidth="1"/>
    <col min="14340" max="14340" width="5.42578125" style="11" customWidth="1"/>
    <col min="14341" max="14341" width="9.7109375" style="11" customWidth="1"/>
    <col min="14342" max="14342" width="8.28515625" style="11" customWidth="1"/>
    <col min="14343" max="14343" width="13.5703125" style="11" bestFit="1" customWidth="1"/>
    <col min="14344" max="14344" width="11" style="11" customWidth="1"/>
    <col min="14345" max="14345" width="10.85546875" style="11" customWidth="1"/>
    <col min="14346" max="14346" width="9.140625" style="11"/>
    <col min="14347" max="14347" width="14.7109375" style="11" customWidth="1"/>
    <col min="14348" max="14348" width="12" style="11" bestFit="1" customWidth="1"/>
    <col min="14349" max="14350" width="12" style="11" customWidth="1"/>
    <col min="14351" max="14351" width="3.85546875" style="11" bestFit="1" customWidth="1"/>
    <col min="14352" max="14352" width="11.42578125" style="11" customWidth="1"/>
    <col min="14353" max="14353" width="11.85546875" style="11" customWidth="1"/>
    <col min="14354" max="14354" width="10.5703125" style="11" customWidth="1"/>
    <col min="14355" max="14355" width="13.7109375" style="11" customWidth="1"/>
    <col min="14356" max="14592" width="9.140625" style="11"/>
    <col min="14593" max="14593" width="3.140625" style="11" customWidth="1"/>
    <col min="14594" max="14594" width="11.85546875" style="11" customWidth="1"/>
    <col min="14595" max="14595" width="3" style="11" customWidth="1"/>
    <col min="14596" max="14596" width="5.42578125" style="11" customWidth="1"/>
    <col min="14597" max="14597" width="9.7109375" style="11" customWidth="1"/>
    <col min="14598" max="14598" width="8.28515625" style="11" customWidth="1"/>
    <col min="14599" max="14599" width="13.5703125" style="11" bestFit="1" customWidth="1"/>
    <col min="14600" max="14600" width="11" style="11" customWidth="1"/>
    <col min="14601" max="14601" width="10.85546875" style="11" customWidth="1"/>
    <col min="14602" max="14602" width="9.140625" style="11"/>
    <col min="14603" max="14603" width="14.7109375" style="11" customWidth="1"/>
    <col min="14604" max="14604" width="12" style="11" bestFit="1" customWidth="1"/>
    <col min="14605" max="14606" width="12" style="11" customWidth="1"/>
    <col min="14607" max="14607" width="3.85546875" style="11" bestFit="1" customWidth="1"/>
    <col min="14608" max="14608" width="11.42578125" style="11" customWidth="1"/>
    <col min="14609" max="14609" width="11.85546875" style="11" customWidth="1"/>
    <col min="14610" max="14610" width="10.5703125" style="11" customWidth="1"/>
    <col min="14611" max="14611" width="13.7109375" style="11" customWidth="1"/>
    <col min="14612" max="14848" width="9.140625" style="11"/>
    <col min="14849" max="14849" width="3.140625" style="11" customWidth="1"/>
    <col min="14850" max="14850" width="11.85546875" style="11" customWidth="1"/>
    <col min="14851" max="14851" width="3" style="11" customWidth="1"/>
    <col min="14852" max="14852" width="5.42578125" style="11" customWidth="1"/>
    <col min="14853" max="14853" width="9.7109375" style="11" customWidth="1"/>
    <col min="14854" max="14854" width="8.28515625" style="11" customWidth="1"/>
    <col min="14855" max="14855" width="13.5703125" style="11" bestFit="1" customWidth="1"/>
    <col min="14856" max="14856" width="11" style="11" customWidth="1"/>
    <col min="14857" max="14857" width="10.85546875" style="11" customWidth="1"/>
    <col min="14858" max="14858" width="9.140625" style="11"/>
    <col min="14859" max="14859" width="14.7109375" style="11" customWidth="1"/>
    <col min="14860" max="14860" width="12" style="11" bestFit="1" customWidth="1"/>
    <col min="14861" max="14862" width="12" style="11" customWidth="1"/>
    <col min="14863" max="14863" width="3.85546875" style="11" bestFit="1" customWidth="1"/>
    <col min="14864" max="14864" width="11.42578125" style="11" customWidth="1"/>
    <col min="14865" max="14865" width="11.85546875" style="11" customWidth="1"/>
    <col min="14866" max="14866" width="10.5703125" style="11" customWidth="1"/>
    <col min="14867" max="14867" width="13.7109375" style="11" customWidth="1"/>
    <col min="14868" max="15104" width="9.140625" style="11"/>
    <col min="15105" max="15105" width="3.140625" style="11" customWidth="1"/>
    <col min="15106" max="15106" width="11.85546875" style="11" customWidth="1"/>
    <col min="15107" max="15107" width="3" style="11" customWidth="1"/>
    <col min="15108" max="15108" width="5.42578125" style="11" customWidth="1"/>
    <col min="15109" max="15109" width="9.7109375" style="11" customWidth="1"/>
    <col min="15110" max="15110" width="8.28515625" style="11" customWidth="1"/>
    <col min="15111" max="15111" width="13.5703125" style="11" bestFit="1" customWidth="1"/>
    <col min="15112" max="15112" width="11" style="11" customWidth="1"/>
    <col min="15113" max="15113" width="10.85546875" style="11" customWidth="1"/>
    <col min="15114" max="15114" width="9.140625" style="11"/>
    <col min="15115" max="15115" width="14.7109375" style="11" customWidth="1"/>
    <col min="15116" max="15116" width="12" style="11" bestFit="1" customWidth="1"/>
    <col min="15117" max="15118" width="12" style="11" customWidth="1"/>
    <col min="15119" max="15119" width="3.85546875" style="11" bestFit="1" customWidth="1"/>
    <col min="15120" max="15120" width="11.42578125" style="11" customWidth="1"/>
    <col min="15121" max="15121" width="11.85546875" style="11" customWidth="1"/>
    <col min="15122" max="15122" width="10.5703125" style="11" customWidth="1"/>
    <col min="15123" max="15123" width="13.7109375" style="11" customWidth="1"/>
    <col min="15124" max="15360" width="9.140625" style="11"/>
    <col min="15361" max="15361" width="3.140625" style="11" customWidth="1"/>
    <col min="15362" max="15362" width="11.85546875" style="11" customWidth="1"/>
    <col min="15363" max="15363" width="3" style="11" customWidth="1"/>
    <col min="15364" max="15364" width="5.42578125" style="11" customWidth="1"/>
    <col min="15365" max="15365" width="9.7109375" style="11" customWidth="1"/>
    <col min="15366" max="15366" width="8.28515625" style="11" customWidth="1"/>
    <col min="15367" max="15367" width="13.5703125" style="11" bestFit="1" customWidth="1"/>
    <col min="15368" max="15368" width="11" style="11" customWidth="1"/>
    <col min="15369" max="15369" width="10.85546875" style="11" customWidth="1"/>
    <col min="15370" max="15370" width="9.140625" style="11"/>
    <col min="15371" max="15371" width="14.7109375" style="11" customWidth="1"/>
    <col min="15372" max="15372" width="12" style="11" bestFit="1" customWidth="1"/>
    <col min="15373" max="15374" width="12" style="11" customWidth="1"/>
    <col min="15375" max="15375" width="3.85546875" style="11" bestFit="1" customWidth="1"/>
    <col min="15376" max="15376" width="11.42578125" style="11" customWidth="1"/>
    <col min="15377" max="15377" width="11.85546875" style="11" customWidth="1"/>
    <col min="15378" max="15378" width="10.5703125" style="11" customWidth="1"/>
    <col min="15379" max="15379" width="13.7109375" style="11" customWidth="1"/>
    <col min="15380" max="15616" width="9.140625" style="11"/>
    <col min="15617" max="15617" width="3.140625" style="11" customWidth="1"/>
    <col min="15618" max="15618" width="11.85546875" style="11" customWidth="1"/>
    <col min="15619" max="15619" width="3" style="11" customWidth="1"/>
    <col min="15620" max="15620" width="5.42578125" style="11" customWidth="1"/>
    <col min="15621" max="15621" width="9.7109375" style="11" customWidth="1"/>
    <col min="15622" max="15622" width="8.28515625" style="11" customWidth="1"/>
    <col min="15623" max="15623" width="13.5703125" style="11" bestFit="1" customWidth="1"/>
    <col min="15624" max="15624" width="11" style="11" customWidth="1"/>
    <col min="15625" max="15625" width="10.85546875" style="11" customWidth="1"/>
    <col min="15626" max="15626" width="9.140625" style="11"/>
    <col min="15627" max="15627" width="14.7109375" style="11" customWidth="1"/>
    <col min="15628" max="15628" width="12" style="11" bestFit="1" customWidth="1"/>
    <col min="15629" max="15630" width="12" style="11" customWidth="1"/>
    <col min="15631" max="15631" width="3.85546875" style="11" bestFit="1" customWidth="1"/>
    <col min="15632" max="15632" width="11.42578125" style="11" customWidth="1"/>
    <col min="15633" max="15633" width="11.85546875" style="11" customWidth="1"/>
    <col min="15634" max="15634" width="10.5703125" style="11" customWidth="1"/>
    <col min="15635" max="15635" width="13.7109375" style="11" customWidth="1"/>
    <col min="15636" max="15872" width="9.140625" style="11"/>
    <col min="15873" max="15873" width="3.140625" style="11" customWidth="1"/>
    <col min="15874" max="15874" width="11.85546875" style="11" customWidth="1"/>
    <col min="15875" max="15875" width="3" style="11" customWidth="1"/>
    <col min="15876" max="15876" width="5.42578125" style="11" customWidth="1"/>
    <col min="15877" max="15877" width="9.7109375" style="11" customWidth="1"/>
    <col min="15878" max="15878" width="8.28515625" style="11" customWidth="1"/>
    <col min="15879" max="15879" width="13.5703125" style="11" bestFit="1" customWidth="1"/>
    <col min="15880" max="15880" width="11" style="11" customWidth="1"/>
    <col min="15881" max="15881" width="10.85546875" style="11" customWidth="1"/>
    <col min="15882" max="15882" width="9.140625" style="11"/>
    <col min="15883" max="15883" width="14.7109375" style="11" customWidth="1"/>
    <col min="15884" max="15884" width="12" style="11" bestFit="1" customWidth="1"/>
    <col min="15885" max="15886" width="12" style="11" customWidth="1"/>
    <col min="15887" max="15887" width="3.85546875" style="11" bestFit="1" customWidth="1"/>
    <col min="15888" max="15888" width="11.42578125" style="11" customWidth="1"/>
    <col min="15889" max="15889" width="11.85546875" style="11" customWidth="1"/>
    <col min="15890" max="15890" width="10.5703125" style="11" customWidth="1"/>
    <col min="15891" max="15891" width="13.7109375" style="11" customWidth="1"/>
    <col min="15892" max="16128" width="9.140625" style="11"/>
    <col min="16129" max="16129" width="3.140625" style="11" customWidth="1"/>
    <col min="16130" max="16130" width="11.85546875" style="11" customWidth="1"/>
    <col min="16131" max="16131" width="3" style="11" customWidth="1"/>
    <col min="16132" max="16132" width="5.42578125" style="11" customWidth="1"/>
    <col min="16133" max="16133" width="9.7109375" style="11" customWidth="1"/>
    <col min="16134" max="16134" width="8.28515625" style="11" customWidth="1"/>
    <col min="16135" max="16135" width="13.5703125" style="11" bestFit="1" customWidth="1"/>
    <col min="16136" max="16136" width="11" style="11" customWidth="1"/>
    <col min="16137" max="16137" width="10.85546875" style="11" customWidth="1"/>
    <col min="16138" max="16138" width="9.140625" style="11"/>
    <col min="16139" max="16139" width="14.7109375" style="11" customWidth="1"/>
    <col min="16140" max="16140" width="12" style="11" bestFit="1" customWidth="1"/>
    <col min="16141" max="16142" width="12" style="11" customWidth="1"/>
    <col min="16143" max="16143" width="3.85546875" style="11" bestFit="1" customWidth="1"/>
    <col min="16144" max="16144" width="11.42578125" style="11" customWidth="1"/>
    <col min="16145" max="16145" width="11.85546875" style="11" customWidth="1"/>
    <col min="16146" max="16146" width="10.5703125" style="11" customWidth="1"/>
    <col min="16147" max="16147" width="13.7109375" style="11" customWidth="1"/>
    <col min="16148" max="16384" width="9.140625" style="11"/>
  </cols>
  <sheetData>
    <row r="1" spans="1:19" x14ac:dyDescent="0.2">
      <c r="A1" s="62"/>
      <c r="B1" s="62"/>
      <c r="C1" s="62"/>
      <c r="D1" s="62"/>
      <c r="E1" s="62"/>
      <c r="F1" s="62"/>
      <c r="G1" s="62"/>
      <c r="H1" s="63" t="s">
        <v>172</v>
      </c>
      <c r="I1" s="64"/>
      <c r="J1" s="62"/>
      <c r="K1" s="62"/>
      <c r="L1" s="62"/>
      <c r="M1" s="64"/>
      <c r="N1" s="65"/>
      <c r="O1" s="66"/>
      <c r="P1" s="66"/>
      <c r="Q1" s="67"/>
      <c r="R1" s="67"/>
      <c r="S1" s="67"/>
    </row>
    <row r="2" spans="1:19" ht="12" thickBot="1" x14ac:dyDescent="0.25">
      <c r="A2" s="68" t="s">
        <v>132</v>
      </c>
      <c r="B2" s="69"/>
      <c r="C2" s="427">
        <f>'Page 1'!A8</f>
        <v>0</v>
      </c>
      <c r="D2" s="427"/>
      <c r="E2" s="427"/>
      <c r="F2" s="428"/>
      <c r="G2" s="62"/>
      <c r="H2" s="62"/>
      <c r="I2" s="70"/>
      <c r="J2" s="62"/>
      <c r="K2" s="62"/>
      <c r="L2" s="62"/>
      <c r="M2" s="70"/>
      <c r="N2" s="65"/>
      <c r="O2" s="66"/>
      <c r="P2" s="66"/>
      <c r="Q2" s="67"/>
      <c r="R2" s="67"/>
      <c r="S2" s="67"/>
    </row>
    <row r="3" spans="1:19" x14ac:dyDescent="0.2">
      <c r="A3" s="71" t="s">
        <v>133</v>
      </c>
      <c r="B3" s="72"/>
      <c r="C3" s="72"/>
      <c r="D3" s="72"/>
      <c r="E3" s="72"/>
      <c r="F3" s="72"/>
      <c r="G3" s="72"/>
      <c r="H3" s="72"/>
      <c r="I3" s="73"/>
      <c r="J3" s="72"/>
      <c r="K3" s="72"/>
      <c r="L3" s="72"/>
      <c r="M3" s="73"/>
      <c r="N3" s="417"/>
      <c r="O3" s="417"/>
      <c r="P3" s="417"/>
      <c r="Q3" s="417"/>
      <c r="R3" s="418"/>
      <c r="S3" s="419" t="s">
        <v>173</v>
      </c>
    </row>
    <row r="4" spans="1:19" x14ac:dyDescent="0.2">
      <c r="A4" s="74" t="s">
        <v>174</v>
      </c>
      <c r="B4" s="75"/>
      <c r="C4" s="75"/>
      <c r="D4" s="75"/>
      <c r="E4" s="75"/>
      <c r="F4" s="75"/>
      <c r="G4" s="75"/>
      <c r="H4" s="75"/>
      <c r="I4" s="76"/>
      <c r="J4" s="75"/>
      <c r="K4" s="75"/>
      <c r="L4" s="75"/>
      <c r="M4" s="76"/>
      <c r="N4" s="76"/>
      <c r="O4" s="77"/>
      <c r="P4" s="77"/>
      <c r="Q4" s="75"/>
      <c r="R4" s="78"/>
      <c r="S4" s="420"/>
    </row>
    <row r="5" spans="1:19" x14ac:dyDescent="0.2">
      <c r="A5" s="414" t="s">
        <v>94</v>
      </c>
      <c r="B5" s="415"/>
      <c r="C5" s="415"/>
      <c r="D5" s="416"/>
      <c r="E5" s="79" t="s">
        <v>134</v>
      </c>
      <c r="F5" s="79" t="s">
        <v>135</v>
      </c>
      <c r="G5" s="79" t="s">
        <v>136</v>
      </c>
      <c r="H5" s="79" t="s">
        <v>137</v>
      </c>
      <c r="I5" s="80" t="s">
        <v>138</v>
      </c>
      <c r="J5" s="79" t="s">
        <v>129</v>
      </c>
      <c r="K5" s="79" t="s">
        <v>139</v>
      </c>
      <c r="L5" s="79" t="s">
        <v>140</v>
      </c>
      <c r="M5" s="80" t="s">
        <v>179</v>
      </c>
      <c r="N5" s="80" t="s">
        <v>138</v>
      </c>
      <c r="O5" s="422" t="s">
        <v>175</v>
      </c>
      <c r="P5" s="423"/>
      <c r="Q5" s="79" t="s">
        <v>179</v>
      </c>
      <c r="R5" s="81" t="s">
        <v>204</v>
      </c>
      <c r="S5" s="420"/>
    </row>
    <row r="6" spans="1:19" ht="12" thickBot="1" x14ac:dyDescent="0.25">
      <c r="A6" s="429" t="s">
        <v>141</v>
      </c>
      <c r="B6" s="430"/>
      <c r="C6" s="430"/>
      <c r="D6" s="431"/>
      <c r="E6" s="82" t="s">
        <v>142</v>
      </c>
      <c r="F6" s="82" t="s">
        <v>143</v>
      </c>
      <c r="G6" s="82" t="s">
        <v>74</v>
      </c>
      <c r="H6" s="82" t="s">
        <v>144</v>
      </c>
      <c r="I6" s="83" t="s">
        <v>145</v>
      </c>
      <c r="J6" s="82" t="s">
        <v>146</v>
      </c>
      <c r="K6" s="82" t="s">
        <v>147</v>
      </c>
      <c r="L6" s="82" t="s">
        <v>148</v>
      </c>
      <c r="M6" s="83" t="s">
        <v>149</v>
      </c>
      <c r="N6" s="83" t="s">
        <v>203</v>
      </c>
      <c r="O6" s="424" t="s">
        <v>176</v>
      </c>
      <c r="P6" s="425"/>
      <c r="Q6" s="82" t="s">
        <v>176</v>
      </c>
      <c r="R6" s="84" t="s">
        <v>180</v>
      </c>
      <c r="S6" s="421"/>
    </row>
    <row r="7" spans="1:19" x14ac:dyDescent="0.2">
      <c r="A7" s="395"/>
      <c r="B7" s="396"/>
      <c r="C7" s="396"/>
      <c r="D7" s="397"/>
      <c r="E7" s="398"/>
      <c r="F7" s="401">
        <v>1</v>
      </c>
      <c r="G7" s="85" t="s">
        <v>150</v>
      </c>
      <c r="H7" s="404"/>
      <c r="I7" s="86" t="s">
        <v>151</v>
      </c>
      <c r="J7" s="426"/>
      <c r="K7" s="407"/>
      <c r="L7" s="407"/>
      <c r="M7" s="408">
        <v>1000</v>
      </c>
      <c r="N7" s="408">
        <v>0</v>
      </c>
      <c r="O7" s="376" t="s">
        <v>177</v>
      </c>
      <c r="P7" s="378">
        <v>8500</v>
      </c>
      <c r="Q7" s="380">
        <f>SUM(P7:P10)/12</f>
        <v>791.66666666666663</v>
      </c>
      <c r="R7" s="380">
        <f>SUM(M7)-N7-N9-Q7</f>
        <v>208.33333333333337</v>
      </c>
      <c r="S7" s="383"/>
    </row>
    <row r="8" spans="1:19" x14ac:dyDescent="0.2">
      <c r="A8" s="386"/>
      <c r="B8" s="387"/>
      <c r="C8" s="387"/>
      <c r="D8" s="388"/>
      <c r="E8" s="399"/>
      <c r="F8" s="402"/>
      <c r="G8" s="153"/>
      <c r="H8" s="405"/>
      <c r="I8" s="156">
        <v>0</v>
      </c>
      <c r="J8" s="389"/>
      <c r="K8" s="389"/>
      <c r="L8" s="389"/>
      <c r="M8" s="409"/>
      <c r="N8" s="409"/>
      <c r="O8" s="377"/>
      <c r="P8" s="379"/>
      <c r="Q8" s="381"/>
      <c r="R8" s="381"/>
      <c r="S8" s="384"/>
    </row>
    <row r="9" spans="1:19" x14ac:dyDescent="0.2">
      <c r="A9" s="87"/>
      <c r="B9" s="7" t="s">
        <v>201</v>
      </c>
      <c r="C9" s="149"/>
      <c r="D9" s="7" t="s">
        <v>152</v>
      </c>
      <c r="E9" s="399"/>
      <c r="F9" s="402"/>
      <c r="G9" s="88" t="s">
        <v>153</v>
      </c>
      <c r="H9" s="405"/>
      <c r="I9" s="89" t="s">
        <v>154</v>
      </c>
      <c r="J9" s="389"/>
      <c r="K9" s="389"/>
      <c r="L9" s="389"/>
      <c r="M9" s="409"/>
      <c r="N9" s="391"/>
      <c r="O9" s="377" t="s">
        <v>178</v>
      </c>
      <c r="P9" s="379">
        <v>1000</v>
      </c>
      <c r="Q9" s="381"/>
      <c r="R9" s="381"/>
      <c r="S9" s="384"/>
    </row>
    <row r="10" spans="1:19" ht="12" thickBot="1" x14ac:dyDescent="0.25">
      <c r="A10" s="90"/>
      <c r="B10" s="8" t="s">
        <v>202</v>
      </c>
      <c r="C10" s="150"/>
      <c r="D10" s="8" t="s">
        <v>155</v>
      </c>
      <c r="E10" s="400"/>
      <c r="F10" s="403"/>
      <c r="G10" s="154"/>
      <c r="H10" s="406"/>
      <c r="I10" s="157">
        <v>0</v>
      </c>
      <c r="J10" s="390"/>
      <c r="K10" s="390"/>
      <c r="L10" s="390"/>
      <c r="M10" s="410"/>
      <c r="N10" s="392"/>
      <c r="O10" s="393"/>
      <c r="P10" s="394"/>
      <c r="Q10" s="382"/>
      <c r="R10" s="382"/>
      <c r="S10" s="385"/>
    </row>
    <row r="11" spans="1:19" x14ac:dyDescent="0.2">
      <c r="A11" s="395"/>
      <c r="B11" s="396"/>
      <c r="C11" s="396"/>
      <c r="D11" s="397"/>
      <c r="E11" s="398"/>
      <c r="F11" s="401">
        <v>1</v>
      </c>
      <c r="G11" s="85" t="s">
        <v>150</v>
      </c>
      <c r="H11" s="404"/>
      <c r="I11" s="86" t="s">
        <v>151</v>
      </c>
      <c r="J11" s="426"/>
      <c r="K11" s="407"/>
      <c r="L11" s="407"/>
      <c r="M11" s="408"/>
      <c r="N11" s="408">
        <v>0</v>
      </c>
      <c r="O11" s="376" t="s">
        <v>177</v>
      </c>
      <c r="P11" s="378"/>
      <c r="Q11" s="380">
        <f>SUM(P11:P14)/12</f>
        <v>0</v>
      </c>
      <c r="R11" s="380">
        <f>SUM(M11)-N11-N13-Q11</f>
        <v>0</v>
      </c>
      <c r="S11" s="383"/>
    </row>
    <row r="12" spans="1:19" x14ac:dyDescent="0.2">
      <c r="A12" s="386"/>
      <c r="B12" s="387"/>
      <c r="C12" s="387"/>
      <c r="D12" s="388"/>
      <c r="E12" s="399"/>
      <c r="F12" s="402"/>
      <c r="G12" s="155"/>
      <c r="H12" s="405"/>
      <c r="I12" s="156">
        <v>0</v>
      </c>
      <c r="J12" s="389"/>
      <c r="K12" s="389"/>
      <c r="L12" s="389"/>
      <c r="M12" s="409"/>
      <c r="N12" s="409"/>
      <c r="O12" s="377"/>
      <c r="P12" s="379"/>
      <c r="Q12" s="381"/>
      <c r="R12" s="381"/>
      <c r="S12" s="384"/>
    </row>
    <row r="13" spans="1:19" x14ac:dyDescent="0.2">
      <c r="A13" s="151"/>
      <c r="B13" s="7" t="s">
        <v>201</v>
      </c>
      <c r="C13" s="149"/>
      <c r="D13" s="7" t="s">
        <v>152</v>
      </c>
      <c r="E13" s="399"/>
      <c r="F13" s="402"/>
      <c r="G13" s="88" t="s">
        <v>153</v>
      </c>
      <c r="H13" s="405"/>
      <c r="I13" s="89" t="s">
        <v>154</v>
      </c>
      <c r="J13" s="389"/>
      <c r="K13" s="389"/>
      <c r="L13" s="389"/>
      <c r="M13" s="409"/>
      <c r="N13" s="391"/>
      <c r="O13" s="377" t="s">
        <v>178</v>
      </c>
      <c r="P13" s="379"/>
      <c r="Q13" s="381"/>
      <c r="R13" s="381"/>
      <c r="S13" s="384"/>
    </row>
    <row r="14" spans="1:19" ht="12" thickBot="1" x14ac:dyDescent="0.25">
      <c r="A14" s="152"/>
      <c r="B14" s="8" t="s">
        <v>202</v>
      </c>
      <c r="C14" s="150"/>
      <c r="D14" s="8" t="s">
        <v>155</v>
      </c>
      <c r="E14" s="400"/>
      <c r="F14" s="403"/>
      <c r="G14" s="154"/>
      <c r="H14" s="406"/>
      <c r="I14" s="157">
        <v>0</v>
      </c>
      <c r="J14" s="390"/>
      <c r="K14" s="390"/>
      <c r="L14" s="390"/>
      <c r="M14" s="410"/>
      <c r="N14" s="392"/>
      <c r="O14" s="393"/>
      <c r="P14" s="394"/>
      <c r="Q14" s="382"/>
      <c r="R14" s="382"/>
      <c r="S14" s="385"/>
    </row>
    <row r="15" spans="1:19" x14ac:dyDescent="0.2">
      <c r="A15" s="395"/>
      <c r="B15" s="396"/>
      <c r="C15" s="396"/>
      <c r="D15" s="397"/>
      <c r="E15" s="398"/>
      <c r="F15" s="401">
        <v>1</v>
      </c>
      <c r="G15" s="85" t="s">
        <v>150</v>
      </c>
      <c r="H15" s="404"/>
      <c r="I15" s="86" t="s">
        <v>151</v>
      </c>
      <c r="J15" s="407"/>
      <c r="K15" s="407"/>
      <c r="L15" s="407"/>
      <c r="M15" s="408"/>
      <c r="N15" s="408">
        <v>0</v>
      </c>
      <c r="O15" s="376" t="s">
        <v>177</v>
      </c>
      <c r="P15" s="378"/>
      <c r="Q15" s="380">
        <f>SUM(P15:P18)/12</f>
        <v>0</v>
      </c>
      <c r="R15" s="380">
        <f>SUM(M15)-N15-N17-Q15</f>
        <v>0</v>
      </c>
      <c r="S15" s="383"/>
    </row>
    <row r="16" spans="1:19" x14ac:dyDescent="0.2">
      <c r="A16" s="386"/>
      <c r="B16" s="387"/>
      <c r="C16" s="387"/>
      <c r="D16" s="388"/>
      <c r="E16" s="399"/>
      <c r="F16" s="402"/>
      <c r="G16" s="155"/>
      <c r="H16" s="405"/>
      <c r="I16" s="156">
        <v>0</v>
      </c>
      <c r="J16" s="389"/>
      <c r="K16" s="389"/>
      <c r="L16" s="389"/>
      <c r="M16" s="409"/>
      <c r="N16" s="409"/>
      <c r="O16" s="377"/>
      <c r="P16" s="379"/>
      <c r="Q16" s="381"/>
      <c r="R16" s="381"/>
      <c r="S16" s="384"/>
    </row>
    <row r="17" spans="1:19" x14ac:dyDescent="0.2">
      <c r="A17" s="151"/>
      <c r="B17" s="7" t="s">
        <v>201</v>
      </c>
      <c r="C17" s="149"/>
      <c r="D17" s="7" t="s">
        <v>152</v>
      </c>
      <c r="E17" s="399"/>
      <c r="F17" s="402"/>
      <c r="G17" s="88" t="s">
        <v>153</v>
      </c>
      <c r="H17" s="405"/>
      <c r="I17" s="89" t="s">
        <v>154</v>
      </c>
      <c r="J17" s="389"/>
      <c r="K17" s="389"/>
      <c r="L17" s="389"/>
      <c r="M17" s="409"/>
      <c r="N17" s="391"/>
      <c r="O17" s="377" t="s">
        <v>178</v>
      </c>
      <c r="P17" s="379"/>
      <c r="Q17" s="381"/>
      <c r="R17" s="381"/>
      <c r="S17" s="384"/>
    </row>
    <row r="18" spans="1:19" ht="12" thickBot="1" x14ac:dyDescent="0.25">
      <c r="A18" s="152"/>
      <c r="B18" s="8" t="s">
        <v>202</v>
      </c>
      <c r="C18" s="150"/>
      <c r="D18" s="8" t="s">
        <v>155</v>
      </c>
      <c r="E18" s="400"/>
      <c r="F18" s="403"/>
      <c r="G18" s="154"/>
      <c r="H18" s="406"/>
      <c r="I18" s="157">
        <v>0</v>
      </c>
      <c r="J18" s="390"/>
      <c r="K18" s="390"/>
      <c r="L18" s="390"/>
      <c r="M18" s="410"/>
      <c r="N18" s="392"/>
      <c r="O18" s="393"/>
      <c r="P18" s="394"/>
      <c r="Q18" s="382"/>
      <c r="R18" s="382"/>
      <c r="S18" s="385"/>
    </row>
    <row r="19" spans="1:19" x14ac:dyDescent="0.2">
      <c r="A19" s="395"/>
      <c r="B19" s="396"/>
      <c r="C19" s="396"/>
      <c r="D19" s="397"/>
      <c r="E19" s="398"/>
      <c r="F19" s="401">
        <v>1</v>
      </c>
      <c r="G19" s="85" t="s">
        <v>150</v>
      </c>
      <c r="H19" s="404"/>
      <c r="I19" s="86" t="s">
        <v>151</v>
      </c>
      <c r="J19" s="407"/>
      <c r="K19" s="407"/>
      <c r="L19" s="407"/>
      <c r="M19" s="408"/>
      <c r="N19" s="408">
        <v>0</v>
      </c>
      <c r="O19" s="376" t="s">
        <v>177</v>
      </c>
      <c r="P19" s="378"/>
      <c r="Q19" s="380">
        <f>SUM(P19:P22)/12</f>
        <v>0</v>
      </c>
      <c r="R19" s="380">
        <f>SUM(M19)-N19-N21-Q19</f>
        <v>0</v>
      </c>
      <c r="S19" s="383"/>
    </row>
    <row r="20" spans="1:19" x14ac:dyDescent="0.2">
      <c r="A20" s="386"/>
      <c r="B20" s="387"/>
      <c r="C20" s="387"/>
      <c r="D20" s="388"/>
      <c r="E20" s="399"/>
      <c r="F20" s="402"/>
      <c r="G20" s="155"/>
      <c r="H20" s="405"/>
      <c r="I20" s="156">
        <v>0</v>
      </c>
      <c r="J20" s="389"/>
      <c r="K20" s="389"/>
      <c r="L20" s="389"/>
      <c r="M20" s="409"/>
      <c r="N20" s="409"/>
      <c r="O20" s="377"/>
      <c r="P20" s="379"/>
      <c r="Q20" s="381"/>
      <c r="R20" s="381"/>
      <c r="S20" s="384"/>
    </row>
    <row r="21" spans="1:19" x14ac:dyDescent="0.2">
      <c r="A21" s="151"/>
      <c r="B21" s="7" t="s">
        <v>201</v>
      </c>
      <c r="C21" s="149"/>
      <c r="D21" s="7" t="s">
        <v>152</v>
      </c>
      <c r="E21" s="399"/>
      <c r="F21" s="402"/>
      <c r="G21" s="88" t="s">
        <v>153</v>
      </c>
      <c r="H21" s="405"/>
      <c r="I21" s="89" t="s">
        <v>154</v>
      </c>
      <c r="J21" s="389"/>
      <c r="K21" s="389"/>
      <c r="L21" s="389"/>
      <c r="M21" s="409"/>
      <c r="N21" s="391"/>
      <c r="O21" s="377" t="s">
        <v>178</v>
      </c>
      <c r="P21" s="379"/>
      <c r="Q21" s="381"/>
      <c r="R21" s="381"/>
      <c r="S21" s="384"/>
    </row>
    <row r="22" spans="1:19" ht="12" thickBot="1" x14ac:dyDescent="0.25">
      <c r="A22" s="152"/>
      <c r="B22" s="8" t="s">
        <v>202</v>
      </c>
      <c r="C22" s="150"/>
      <c r="D22" s="8" t="s">
        <v>155</v>
      </c>
      <c r="E22" s="400"/>
      <c r="F22" s="403"/>
      <c r="G22" s="154"/>
      <c r="H22" s="406"/>
      <c r="I22" s="157">
        <v>0</v>
      </c>
      <c r="J22" s="390"/>
      <c r="K22" s="390"/>
      <c r="L22" s="390"/>
      <c r="M22" s="410"/>
      <c r="N22" s="392"/>
      <c r="O22" s="393"/>
      <c r="P22" s="394"/>
      <c r="Q22" s="382"/>
      <c r="R22" s="382"/>
      <c r="S22" s="385"/>
    </row>
    <row r="23" spans="1:19" x14ac:dyDescent="0.2">
      <c r="A23" s="395"/>
      <c r="B23" s="396"/>
      <c r="C23" s="396"/>
      <c r="D23" s="397"/>
      <c r="E23" s="398"/>
      <c r="F23" s="401">
        <v>1</v>
      </c>
      <c r="G23" s="85" t="s">
        <v>150</v>
      </c>
      <c r="H23" s="404"/>
      <c r="I23" s="86" t="s">
        <v>151</v>
      </c>
      <c r="J23" s="407"/>
      <c r="K23" s="407"/>
      <c r="L23" s="407"/>
      <c r="M23" s="408"/>
      <c r="N23" s="408">
        <v>0</v>
      </c>
      <c r="O23" s="376" t="s">
        <v>177</v>
      </c>
      <c r="P23" s="378"/>
      <c r="Q23" s="380">
        <f>SUM(P23:P26)/12</f>
        <v>0</v>
      </c>
      <c r="R23" s="380">
        <f>SUM(M23)-N23-N25-Q23</f>
        <v>0</v>
      </c>
      <c r="S23" s="383"/>
    </row>
    <row r="24" spans="1:19" x14ac:dyDescent="0.2">
      <c r="A24" s="386"/>
      <c r="B24" s="387"/>
      <c r="C24" s="387"/>
      <c r="D24" s="388"/>
      <c r="E24" s="399"/>
      <c r="F24" s="402"/>
      <c r="G24" s="155"/>
      <c r="H24" s="405"/>
      <c r="I24" s="156">
        <v>0</v>
      </c>
      <c r="J24" s="389"/>
      <c r="K24" s="389"/>
      <c r="L24" s="389"/>
      <c r="M24" s="409"/>
      <c r="N24" s="409"/>
      <c r="O24" s="377"/>
      <c r="P24" s="379"/>
      <c r="Q24" s="381"/>
      <c r="R24" s="381"/>
      <c r="S24" s="384"/>
    </row>
    <row r="25" spans="1:19" x14ac:dyDescent="0.2">
      <c r="A25" s="151"/>
      <c r="B25" s="7" t="s">
        <v>201</v>
      </c>
      <c r="C25" s="149"/>
      <c r="D25" s="7" t="s">
        <v>152</v>
      </c>
      <c r="E25" s="399"/>
      <c r="F25" s="402"/>
      <c r="G25" s="88" t="s">
        <v>153</v>
      </c>
      <c r="H25" s="405"/>
      <c r="I25" s="89" t="s">
        <v>154</v>
      </c>
      <c r="J25" s="389"/>
      <c r="K25" s="389"/>
      <c r="L25" s="389"/>
      <c r="M25" s="409"/>
      <c r="N25" s="391"/>
      <c r="O25" s="377" t="s">
        <v>178</v>
      </c>
      <c r="P25" s="379"/>
      <c r="Q25" s="381"/>
      <c r="R25" s="381"/>
      <c r="S25" s="384"/>
    </row>
    <row r="26" spans="1:19" ht="12" thickBot="1" x14ac:dyDescent="0.25">
      <c r="A26" s="152"/>
      <c r="B26" s="8" t="s">
        <v>202</v>
      </c>
      <c r="C26" s="150"/>
      <c r="D26" s="8" t="s">
        <v>155</v>
      </c>
      <c r="E26" s="400"/>
      <c r="F26" s="403"/>
      <c r="G26" s="154"/>
      <c r="H26" s="406"/>
      <c r="I26" s="157">
        <v>0</v>
      </c>
      <c r="J26" s="390"/>
      <c r="K26" s="390"/>
      <c r="L26" s="390"/>
      <c r="M26" s="410"/>
      <c r="N26" s="392"/>
      <c r="O26" s="393"/>
      <c r="P26" s="394"/>
      <c r="Q26" s="382"/>
      <c r="R26" s="382"/>
      <c r="S26" s="385"/>
    </row>
    <row r="27" spans="1:19" x14ac:dyDescent="0.2">
      <c r="A27" s="395"/>
      <c r="B27" s="396"/>
      <c r="C27" s="396"/>
      <c r="D27" s="397"/>
      <c r="E27" s="398"/>
      <c r="F27" s="401">
        <v>1</v>
      </c>
      <c r="G27" s="85" t="s">
        <v>150</v>
      </c>
      <c r="H27" s="411"/>
      <c r="I27" s="86" t="s">
        <v>151</v>
      </c>
      <c r="J27" s="407"/>
      <c r="K27" s="407"/>
      <c r="L27" s="407"/>
      <c r="M27" s="408"/>
      <c r="N27" s="408">
        <v>0</v>
      </c>
      <c r="O27" s="376" t="s">
        <v>177</v>
      </c>
      <c r="P27" s="378"/>
      <c r="Q27" s="380">
        <f>SUM(P27:P30)/12</f>
        <v>0</v>
      </c>
      <c r="R27" s="380">
        <f>SUM(M27)-N27-N29-Q27</f>
        <v>0</v>
      </c>
      <c r="S27" s="383"/>
    </row>
    <row r="28" spans="1:19" x14ac:dyDescent="0.2">
      <c r="A28" s="386"/>
      <c r="B28" s="387"/>
      <c r="C28" s="387"/>
      <c r="D28" s="388"/>
      <c r="E28" s="399"/>
      <c r="F28" s="402"/>
      <c r="G28" s="155"/>
      <c r="H28" s="412"/>
      <c r="I28" s="156">
        <v>0</v>
      </c>
      <c r="J28" s="389"/>
      <c r="K28" s="389"/>
      <c r="L28" s="389"/>
      <c r="M28" s="409"/>
      <c r="N28" s="409"/>
      <c r="O28" s="377"/>
      <c r="P28" s="379"/>
      <c r="Q28" s="381"/>
      <c r="R28" s="381"/>
      <c r="S28" s="384"/>
    </row>
    <row r="29" spans="1:19" x14ac:dyDescent="0.2">
      <c r="A29" s="151"/>
      <c r="B29" s="7" t="s">
        <v>201</v>
      </c>
      <c r="C29" s="149"/>
      <c r="D29" s="7" t="s">
        <v>152</v>
      </c>
      <c r="E29" s="399"/>
      <c r="F29" s="402"/>
      <c r="G29" s="88" t="s">
        <v>153</v>
      </c>
      <c r="H29" s="412"/>
      <c r="I29" s="89" t="s">
        <v>154</v>
      </c>
      <c r="J29" s="389"/>
      <c r="K29" s="389"/>
      <c r="L29" s="389"/>
      <c r="M29" s="409"/>
      <c r="N29" s="391"/>
      <c r="O29" s="377" t="s">
        <v>178</v>
      </c>
      <c r="P29" s="379"/>
      <c r="Q29" s="381"/>
      <c r="R29" s="381"/>
      <c r="S29" s="384"/>
    </row>
    <row r="30" spans="1:19" ht="12" thickBot="1" x14ac:dyDescent="0.25">
      <c r="A30" s="152"/>
      <c r="B30" s="8" t="s">
        <v>202</v>
      </c>
      <c r="C30" s="150"/>
      <c r="D30" s="8" t="s">
        <v>155</v>
      </c>
      <c r="E30" s="400"/>
      <c r="F30" s="403"/>
      <c r="G30" s="154"/>
      <c r="H30" s="413"/>
      <c r="I30" s="157">
        <v>0</v>
      </c>
      <c r="J30" s="390"/>
      <c r="K30" s="390"/>
      <c r="L30" s="390"/>
      <c r="M30" s="410"/>
      <c r="N30" s="392"/>
      <c r="O30" s="393"/>
      <c r="P30" s="394"/>
      <c r="Q30" s="382"/>
      <c r="R30" s="382"/>
      <c r="S30" s="385"/>
    </row>
    <row r="31" spans="1:19" x14ac:dyDescent="0.2">
      <c r="A31" s="395"/>
      <c r="B31" s="396"/>
      <c r="C31" s="396"/>
      <c r="D31" s="397"/>
      <c r="E31" s="398"/>
      <c r="F31" s="401">
        <v>1</v>
      </c>
      <c r="G31" s="85" t="s">
        <v>150</v>
      </c>
      <c r="H31" s="404"/>
      <c r="I31" s="86" t="s">
        <v>151</v>
      </c>
      <c r="J31" s="407"/>
      <c r="K31" s="407"/>
      <c r="L31" s="407"/>
      <c r="M31" s="408"/>
      <c r="N31" s="408">
        <v>0</v>
      </c>
      <c r="O31" s="376" t="s">
        <v>177</v>
      </c>
      <c r="P31" s="378"/>
      <c r="Q31" s="380">
        <f>SUM(P31:P34)/12</f>
        <v>0</v>
      </c>
      <c r="R31" s="380">
        <f>SUM(M31)-N31-N33-Q31</f>
        <v>0</v>
      </c>
      <c r="S31" s="383"/>
    </row>
    <row r="32" spans="1:19" x14ac:dyDescent="0.2">
      <c r="A32" s="386"/>
      <c r="B32" s="387"/>
      <c r="C32" s="387"/>
      <c r="D32" s="388"/>
      <c r="E32" s="399"/>
      <c r="F32" s="402"/>
      <c r="G32" s="155"/>
      <c r="H32" s="405"/>
      <c r="I32" s="156">
        <v>0</v>
      </c>
      <c r="J32" s="389"/>
      <c r="K32" s="389"/>
      <c r="L32" s="389"/>
      <c r="M32" s="409"/>
      <c r="N32" s="409"/>
      <c r="O32" s="377"/>
      <c r="P32" s="379"/>
      <c r="Q32" s="381"/>
      <c r="R32" s="381"/>
      <c r="S32" s="384"/>
    </row>
    <row r="33" spans="1:19" x14ac:dyDescent="0.2">
      <c r="A33" s="151"/>
      <c r="B33" s="7" t="s">
        <v>201</v>
      </c>
      <c r="C33" s="149"/>
      <c r="D33" s="7" t="s">
        <v>152</v>
      </c>
      <c r="E33" s="399"/>
      <c r="F33" s="402"/>
      <c r="G33" s="88" t="s">
        <v>153</v>
      </c>
      <c r="H33" s="405"/>
      <c r="I33" s="89" t="s">
        <v>154</v>
      </c>
      <c r="J33" s="389"/>
      <c r="K33" s="389"/>
      <c r="L33" s="389"/>
      <c r="M33" s="409"/>
      <c r="N33" s="391"/>
      <c r="O33" s="377" t="s">
        <v>178</v>
      </c>
      <c r="P33" s="379"/>
      <c r="Q33" s="381"/>
      <c r="R33" s="381"/>
      <c r="S33" s="384"/>
    </row>
    <row r="34" spans="1:19" ht="12" thickBot="1" x14ac:dyDescent="0.25">
      <c r="A34" s="152"/>
      <c r="B34" s="8" t="s">
        <v>202</v>
      </c>
      <c r="C34" s="150"/>
      <c r="D34" s="8" t="s">
        <v>155</v>
      </c>
      <c r="E34" s="400"/>
      <c r="F34" s="403"/>
      <c r="G34" s="154"/>
      <c r="H34" s="406"/>
      <c r="I34" s="157">
        <v>0</v>
      </c>
      <c r="J34" s="390"/>
      <c r="K34" s="390"/>
      <c r="L34" s="390"/>
      <c r="M34" s="410"/>
      <c r="N34" s="392"/>
      <c r="O34" s="393"/>
      <c r="P34" s="394"/>
      <c r="Q34" s="382"/>
      <c r="R34" s="382"/>
      <c r="S34" s="385"/>
    </row>
    <row r="35" spans="1:19" x14ac:dyDescent="0.2">
      <c r="A35" s="395"/>
      <c r="B35" s="396"/>
      <c r="C35" s="396"/>
      <c r="D35" s="397"/>
      <c r="E35" s="398"/>
      <c r="F35" s="401">
        <v>1</v>
      </c>
      <c r="G35" s="85" t="s">
        <v>150</v>
      </c>
      <c r="H35" s="404"/>
      <c r="I35" s="86" t="s">
        <v>151</v>
      </c>
      <c r="J35" s="407"/>
      <c r="K35" s="407"/>
      <c r="L35" s="407"/>
      <c r="M35" s="408"/>
      <c r="N35" s="408">
        <v>0</v>
      </c>
      <c r="O35" s="376" t="s">
        <v>177</v>
      </c>
      <c r="P35" s="378"/>
      <c r="Q35" s="380">
        <f>SUM(P35:P38)/12</f>
        <v>0</v>
      </c>
      <c r="R35" s="380">
        <f>SUM(M35)-N35-N37-Q35</f>
        <v>0</v>
      </c>
      <c r="S35" s="383"/>
    </row>
    <row r="36" spans="1:19" x14ac:dyDescent="0.2">
      <c r="A36" s="386"/>
      <c r="B36" s="387"/>
      <c r="C36" s="387"/>
      <c r="D36" s="388"/>
      <c r="E36" s="399"/>
      <c r="F36" s="402"/>
      <c r="G36" s="155"/>
      <c r="H36" s="405"/>
      <c r="I36" s="156">
        <v>0</v>
      </c>
      <c r="J36" s="389"/>
      <c r="K36" s="389"/>
      <c r="L36" s="389"/>
      <c r="M36" s="409"/>
      <c r="N36" s="409"/>
      <c r="O36" s="377"/>
      <c r="P36" s="379"/>
      <c r="Q36" s="381"/>
      <c r="R36" s="381"/>
      <c r="S36" s="384"/>
    </row>
    <row r="37" spans="1:19" x14ac:dyDescent="0.2">
      <c r="A37" s="151"/>
      <c r="B37" s="7" t="s">
        <v>201</v>
      </c>
      <c r="C37" s="149"/>
      <c r="D37" s="7" t="s">
        <v>152</v>
      </c>
      <c r="E37" s="399"/>
      <c r="F37" s="402"/>
      <c r="G37" s="88" t="s">
        <v>153</v>
      </c>
      <c r="H37" s="405"/>
      <c r="I37" s="89" t="s">
        <v>154</v>
      </c>
      <c r="J37" s="389"/>
      <c r="K37" s="389"/>
      <c r="L37" s="389"/>
      <c r="M37" s="409"/>
      <c r="N37" s="391"/>
      <c r="O37" s="377" t="s">
        <v>178</v>
      </c>
      <c r="P37" s="379"/>
      <c r="Q37" s="381"/>
      <c r="R37" s="381"/>
      <c r="S37" s="384"/>
    </row>
    <row r="38" spans="1:19" ht="12" thickBot="1" x14ac:dyDescent="0.25">
      <c r="A38" s="152"/>
      <c r="B38" s="8" t="s">
        <v>202</v>
      </c>
      <c r="C38" s="150"/>
      <c r="D38" s="8" t="s">
        <v>155</v>
      </c>
      <c r="E38" s="400"/>
      <c r="F38" s="403"/>
      <c r="G38" s="154"/>
      <c r="H38" s="406"/>
      <c r="I38" s="157">
        <v>0</v>
      </c>
      <c r="J38" s="390"/>
      <c r="K38" s="390"/>
      <c r="L38" s="390"/>
      <c r="M38" s="410"/>
      <c r="N38" s="392"/>
      <c r="O38" s="393"/>
      <c r="P38" s="394"/>
      <c r="Q38" s="382"/>
      <c r="R38" s="382"/>
      <c r="S38" s="385"/>
    </row>
    <row r="39" spans="1:19" x14ac:dyDescent="0.2">
      <c r="A39" s="395"/>
      <c r="B39" s="396"/>
      <c r="C39" s="396"/>
      <c r="D39" s="397"/>
      <c r="E39" s="398"/>
      <c r="F39" s="401">
        <v>1</v>
      </c>
      <c r="G39" s="85" t="s">
        <v>150</v>
      </c>
      <c r="H39" s="404"/>
      <c r="I39" s="86" t="s">
        <v>151</v>
      </c>
      <c r="J39" s="407"/>
      <c r="K39" s="407"/>
      <c r="L39" s="407"/>
      <c r="M39" s="408"/>
      <c r="N39" s="408">
        <v>0</v>
      </c>
      <c r="O39" s="376" t="s">
        <v>177</v>
      </c>
      <c r="P39" s="378"/>
      <c r="Q39" s="380">
        <f>SUM(P39:P42)/12</f>
        <v>0</v>
      </c>
      <c r="R39" s="380">
        <f>SUM(M39)-N39-N41-Q39</f>
        <v>0</v>
      </c>
      <c r="S39" s="383"/>
    </row>
    <row r="40" spans="1:19" x14ac:dyDescent="0.2">
      <c r="A40" s="386"/>
      <c r="B40" s="387"/>
      <c r="C40" s="387"/>
      <c r="D40" s="388"/>
      <c r="E40" s="399"/>
      <c r="F40" s="402"/>
      <c r="G40" s="155"/>
      <c r="H40" s="405"/>
      <c r="I40" s="156">
        <v>0</v>
      </c>
      <c r="J40" s="389"/>
      <c r="K40" s="389"/>
      <c r="L40" s="389"/>
      <c r="M40" s="409"/>
      <c r="N40" s="409"/>
      <c r="O40" s="377"/>
      <c r="P40" s="379"/>
      <c r="Q40" s="381"/>
      <c r="R40" s="381"/>
      <c r="S40" s="384"/>
    </row>
    <row r="41" spans="1:19" x14ac:dyDescent="0.2">
      <c r="A41" s="151"/>
      <c r="B41" s="7" t="s">
        <v>201</v>
      </c>
      <c r="C41" s="149"/>
      <c r="D41" s="7" t="s">
        <v>152</v>
      </c>
      <c r="E41" s="399"/>
      <c r="F41" s="402"/>
      <c r="G41" s="88" t="s">
        <v>153</v>
      </c>
      <c r="H41" s="405"/>
      <c r="I41" s="89" t="s">
        <v>154</v>
      </c>
      <c r="J41" s="389"/>
      <c r="K41" s="389"/>
      <c r="L41" s="389"/>
      <c r="M41" s="409"/>
      <c r="N41" s="391"/>
      <c r="O41" s="377" t="s">
        <v>178</v>
      </c>
      <c r="P41" s="379"/>
      <c r="Q41" s="381"/>
      <c r="R41" s="381"/>
      <c r="S41" s="384"/>
    </row>
    <row r="42" spans="1:19" ht="12" thickBot="1" x14ac:dyDescent="0.25">
      <c r="A42" s="152"/>
      <c r="B42" s="8" t="s">
        <v>202</v>
      </c>
      <c r="C42" s="150"/>
      <c r="D42" s="8" t="s">
        <v>155</v>
      </c>
      <c r="E42" s="400"/>
      <c r="F42" s="403"/>
      <c r="G42" s="154"/>
      <c r="H42" s="406"/>
      <c r="I42" s="157">
        <v>0</v>
      </c>
      <c r="J42" s="390"/>
      <c r="K42" s="390"/>
      <c r="L42" s="390"/>
      <c r="M42" s="410"/>
      <c r="N42" s="392"/>
      <c r="O42" s="377"/>
      <c r="P42" s="379"/>
      <c r="Q42" s="382"/>
      <c r="R42" s="382"/>
      <c r="S42" s="385"/>
    </row>
    <row r="43" spans="1:19" ht="12" thickBot="1" x14ac:dyDescent="0.25">
      <c r="H43" s="101">
        <f>SUM(H7:H38)</f>
        <v>0</v>
      </c>
      <c r="I43" s="102">
        <f>SUM(I8,I10,I12,I14,I16,I18,I20,I22,I24,I26,I28,I30,I32,I34,I36,I38)</f>
        <v>0</v>
      </c>
      <c r="M43" s="103">
        <f>SUM(M7:M38)</f>
        <v>1000</v>
      </c>
      <c r="N43" s="159">
        <f>SUM(N7:N38)</f>
        <v>0</v>
      </c>
      <c r="O43" s="445" t="s">
        <v>177</v>
      </c>
      <c r="P43" s="445">
        <f>P7+P11+P15+P19+P23+P27+P31+P35+P39</f>
        <v>8500</v>
      </c>
      <c r="Q43" s="160">
        <f>SUM(Q7:Q38)</f>
        <v>791.66666666666663</v>
      </c>
      <c r="R43" s="102">
        <f>SUM(R7:R38)</f>
        <v>208.33333333333337</v>
      </c>
    </row>
    <row r="44" spans="1:19" x14ac:dyDescent="0.2">
      <c r="H44" s="91"/>
      <c r="I44" s="92"/>
      <c r="M44" s="93"/>
      <c r="N44" s="92"/>
      <c r="O44" s="446" t="s">
        <v>178</v>
      </c>
      <c r="P44" s="447">
        <f>P9+P13+P17+P21+P25+P29+P33+P37+P41</f>
        <v>1000</v>
      </c>
      <c r="Q44" s="91"/>
      <c r="R44" s="91"/>
    </row>
    <row r="45" spans="1:19" x14ac:dyDescent="0.2">
      <c r="H45" s="91"/>
      <c r="I45" s="92"/>
      <c r="M45" s="93"/>
      <c r="N45" s="92"/>
      <c r="O45" s="94"/>
      <c r="P45" s="94"/>
      <c r="Q45" s="91"/>
      <c r="R45" s="91"/>
    </row>
    <row r="47" spans="1:19" x14ac:dyDescent="0.2">
      <c r="A47" s="95" t="s">
        <v>156</v>
      </c>
    </row>
    <row r="48" spans="1:19" x14ac:dyDescent="0.2">
      <c r="S48" s="98"/>
    </row>
  </sheetData>
  <sheetProtection selectLockedCells="1"/>
  <mergeCells count="196">
    <mergeCell ref="C2:F2"/>
    <mergeCell ref="N3:R3"/>
    <mergeCell ref="S3:S6"/>
    <mergeCell ref="A5:D5"/>
    <mergeCell ref="O5:P5"/>
    <mergeCell ref="A6:D6"/>
    <mergeCell ref="O6:P6"/>
    <mergeCell ref="R7:R10"/>
    <mergeCell ref="S7:S10"/>
    <mergeCell ref="A8:D8"/>
    <mergeCell ref="J9:J10"/>
    <mergeCell ref="K9:K10"/>
    <mergeCell ref="L9:L10"/>
    <mergeCell ref="N9:N10"/>
    <mergeCell ref="O9:O10"/>
    <mergeCell ref="P9:P10"/>
    <mergeCell ref="L7:L8"/>
    <mergeCell ref="M7:M10"/>
    <mergeCell ref="N7:N8"/>
    <mergeCell ref="O7:O8"/>
    <mergeCell ref="P7:P8"/>
    <mergeCell ref="Q7:Q10"/>
    <mergeCell ref="A7:D7"/>
    <mergeCell ref="E7:E10"/>
    <mergeCell ref="F7:F10"/>
    <mergeCell ref="H7:H10"/>
    <mergeCell ref="J7:J8"/>
    <mergeCell ref="K7:K8"/>
    <mergeCell ref="R11:R14"/>
    <mergeCell ref="S11:S14"/>
    <mergeCell ref="A12:D12"/>
    <mergeCell ref="J13:J14"/>
    <mergeCell ref="K13:K14"/>
    <mergeCell ref="L13:L14"/>
    <mergeCell ref="N13:N14"/>
    <mergeCell ref="O13:O14"/>
    <mergeCell ref="P13:P14"/>
    <mergeCell ref="L11:L12"/>
    <mergeCell ref="M11:M14"/>
    <mergeCell ref="N11:N12"/>
    <mergeCell ref="O11:O12"/>
    <mergeCell ref="P11:P12"/>
    <mergeCell ref="Q11:Q14"/>
    <mergeCell ref="A11:D11"/>
    <mergeCell ref="E11:E14"/>
    <mergeCell ref="F11:F14"/>
    <mergeCell ref="H11:H14"/>
    <mergeCell ref="J11:J12"/>
    <mergeCell ref="K11:K12"/>
    <mergeCell ref="R15:R18"/>
    <mergeCell ref="S15:S18"/>
    <mergeCell ref="A16:D16"/>
    <mergeCell ref="J17:J18"/>
    <mergeCell ref="K17:K18"/>
    <mergeCell ref="L17:L18"/>
    <mergeCell ref="N17:N18"/>
    <mergeCell ref="O17:O18"/>
    <mergeCell ref="P17:P18"/>
    <mergeCell ref="L15:L16"/>
    <mergeCell ref="M15:M18"/>
    <mergeCell ref="N15:N16"/>
    <mergeCell ref="O15:O16"/>
    <mergeCell ref="P15:P16"/>
    <mergeCell ref="Q15:Q18"/>
    <mergeCell ref="A15:D15"/>
    <mergeCell ref="E15:E18"/>
    <mergeCell ref="F15:F18"/>
    <mergeCell ref="H15:H18"/>
    <mergeCell ref="J15:J16"/>
    <mergeCell ref="K15:K16"/>
    <mergeCell ref="R19:R22"/>
    <mergeCell ref="S19:S22"/>
    <mergeCell ref="A20:D20"/>
    <mergeCell ref="J21:J22"/>
    <mergeCell ref="K21:K22"/>
    <mergeCell ref="L21:L22"/>
    <mergeCell ref="N21:N22"/>
    <mergeCell ref="O21:O22"/>
    <mergeCell ref="P21:P22"/>
    <mergeCell ref="L19:L20"/>
    <mergeCell ref="M19:M22"/>
    <mergeCell ref="N19:N20"/>
    <mergeCell ref="O19:O20"/>
    <mergeCell ref="P19:P20"/>
    <mergeCell ref="Q19:Q22"/>
    <mergeCell ref="A19:D19"/>
    <mergeCell ref="E19:E22"/>
    <mergeCell ref="F19:F22"/>
    <mergeCell ref="H19:H22"/>
    <mergeCell ref="J19:J20"/>
    <mergeCell ref="K19:K20"/>
    <mergeCell ref="R23:R26"/>
    <mergeCell ref="S23:S26"/>
    <mergeCell ref="A24:D24"/>
    <mergeCell ref="J25:J26"/>
    <mergeCell ref="K25:K26"/>
    <mergeCell ref="L25:L26"/>
    <mergeCell ref="N25:N26"/>
    <mergeCell ref="O25:O26"/>
    <mergeCell ref="P25:P26"/>
    <mergeCell ref="L23:L24"/>
    <mergeCell ref="M23:M26"/>
    <mergeCell ref="N23:N24"/>
    <mergeCell ref="O23:O24"/>
    <mergeCell ref="P23:P24"/>
    <mergeCell ref="Q23:Q26"/>
    <mergeCell ref="A23:D23"/>
    <mergeCell ref="E23:E26"/>
    <mergeCell ref="F23:F26"/>
    <mergeCell ref="H23:H26"/>
    <mergeCell ref="J23:J24"/>
    <mergeCell ref="K23:K24"/>
    <mergeCell ref="R27:R30"/>
    <mergeCell ref="S27:S30"/>
    <mergeCell ref="A28:D28"/>
    <mergeCell ref="J29:J30"/>
    <mergeCell ref="K29:K30"/>
    <mergeCell ref="L29:L30"/>
    <mergeCell ref="N29:N30"/>
    <mergeCell ref="O29:O30"/>
    <mergeCell ref="P29:P30"/>
    <mergeCell ref="L27:L28"/>
    <mergeCell ref="M27:M30"/>
    <mergeCell ref="N27:N28"/>
    <mergeCell ref="O27:O28"/>
    <mergeCell ref="P27:P28"/>
    <mergeCell ref="Q27:Q30"/>
    <mergeCell ref="A27:D27"/>
    <mergeCell ref="E27:E30"/>
    <mergeCell ref="F27:F30"/>
    <mergeCell ref="H27:H30"/>
    <mergeCell ref="J27:J28"/>
    <mergeCell ref="K27:K28"/>
    <mergeCell ref="R31:R34"/>
    <mergeCell ref="S31:S34"/>
    <mergeCell ref="A32:D32"/>
    <mergeCell ref="J33:J34"/>
    <mergeCell ref="K33:K34"/>
    <mergeCell ref="L33:L34"/>
    <mergeCell ref="N33:N34"/>
    <mergeCell ref="O33:O34"/>
    <mergeCell ref="P33:P34"/>
    <mergeCell ref="L31:L32"/>
    <mergeCell ref="M31:M34"/>
    <mergeCell ref="N31:N32"/>
    <mergeCell ref="O31:O32"/>
    <mergeCell ref="P31:P32"/>
    <mergeCell ref="Q31:Q34"/>
    <mergeCell ref="A31:D31"/>
    <mergeCell ref="E31:E34"/>
    <mergeCell ref="F31:F34"/>
    <mergeCell ref="H31:H34"/>
    <mergeCell ref="J31:J32"/>
    <mergeCell ref="K31:K32"/>
    <mergeCell ref="R35:R38"/>
    <mergeCell ref="S35:S38"/>
    <mergeCell ref="A36:D36"/>
    <mergeCell ref="J37:J38"/>
    <mergeCell ref="K37:K38"/>
    <mergeCell ref="L37:L38"/>
    <mergeCell ref="N37:N38"/>
    <mergeCell ref="O37:O38"/>
    <mergeCell ref="P37:P38"/>
    <mergeCell ref="L35:L36"/>
    <mergeCell ref="M35:M38"/>
    <mergeCell ref="N35:N36"/>
    <mergeCell ref="O35:O36"/>
    <mergeCell ref="P35:P36"/>
    <mergeCell ref="Q35:Q38"/>
    <mergeCell ref="A35:D35"/>
    <mergeCell ref="E35:E38"/>
    <mergeCell ref="F35:F38"/>
    <mergeCell ref="H35:H38"/>
    <mergeCell ref="J35:J36"/>
    <mergeCell ref="K35:K36"/>
    <mergeCell ref="R39:R42"/>
    <mergeCell ref="S39:S42"/>
    <mergeCell ref="A40:D40"/>
    <mergeCell ref="J41:J42"/>
    <mergeCell ref="K41:K42"/>
    <mergeCell ref="L41:L42"/>
    <mergeCell ref="N41:N42"/>
    <mergeCell ref="O41:O42"/>
    <mergeCell ref="P41:P42"/>
    <mergeCell ref="L39:L40"/>
    <mergeCell ref="M39:M42"/>
    <mergeCell ref="N39:N40"/>
    <mergeCell ref="O39:O40"/>
    <mergeCell ref="P39:P40"/>
    <mergeCell ref="Q39:Q42"/>
    <mergeCell ref="A39:D39"/>
    <mergeCell ref="E39:E42"/>
    <mergeCell ref="F39:F42"/>
    <mergeCell ref="H39:H42"/>
    <mergeCell ref="J39:J40"/>
    <mergeCell ref="K39:K40"/>
  </mergeCells>
  <pageMargins left="0.25" right="0.25" top="0.75" bottom="0.25735294117647056" header="0.3" footer="0.3"/>
  <pageSetup paperSize="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15A79-9E96-410B-A298-D8DCB65C502D}">
  <dimension ref="A1:S48"/>
  <sheetViews>
    <sheetView view="pageLayout" zoomScale="85" zoomScaleNormal="100" zoomScalePageLayoutView="85" workbookViewId="0">
      <selection activeCell="O43" sqref="O43:P44"/>
    </sheetView>
  </sheetViews>
  <sheetFormatPr defaultRowHeight="11.25" x14ac:dyDescent="0.2"/>
  <cols>
    <col min="1" max="1" width="3.140625" style="11" customWidth="1"/>
    <col min="2" max="2" width="7.28515625" style="11" customWidth="1"/>
    <col min="3" max="3" width="3" style="11" customWidth="1"/>
    <col min="4" max="5" width="7.28515625" style="11" customWidth="1"/>
    <col min="6" max="6" width="8.28515625" style="11" customWidth="1"/>
    <col min="7" max="7" width="13.5703125" style="11" bestFit="1" customWidth="1"/>
    <col min="8" max="8" width="11" style="11" customWidth="1"/>
    <col min="9" max="9" width="10.85546875" style="96" customWidth="1"/>
    <col min="10" max="10" width="9.140625" style="11"/>
    <col min="11" max="11" width="14.7109375" style="11" customWidth="1"/>
    <col min="12" max="12" width="12" style="11" bestFit="1" customWidth="1"/>
    <col min="13" max="13" width="9.7109375" style="96" bestFit="1" customWidth="1"/>
    <col min="14" max="14" width="10.42578125" style="96" customWidth="1"/>
    <col min="15" max="15" width="3.85546875" style="97" bestFit="1" customWidth="1"/>
    <col min="16" max="16" width="9" style="97" customWidth="1"/>
    <col min="17" max="17" width="9.5703125" style="11" bestFit="1" customWidth="1"/>
    <col min="18" max="18" width="8.140625" style="11" bestFit="1" customWidth="1"/>
    <col min="19" max="19" width="10" style="11" customWidth="1"/>
    <col min="20" max="256" width="9.140625" style="11"/>
    <col min="257" max="257" width="3.140625" style="11" customWidth="1"/>
    <col min="258" max="258" width="11.85546875" style="11" customWidth="1"/>
    <col min="259" max="259" width="3" style="11" customWidth="1"/>
    <col min="260" max="260" width="5.42578125" style="11" customWidth="1"/>
    <col min="261" max="261" width="9.7109375" style="11" customWidth="1"/>
    <col min="262" max="262" width="8.28515625" style="11" customWidth="1"/>
    <col min="263" max="263" width="13.5703125" style="11" bestFit="1" customWidth="1"/>
    <col min="264" max="264" width="11" style="11" customWidth="1"/>
    <col min="265" max="265" width="10.85546875" style="11" customWidth="1"/>
    <col min="266" max="266" width="9.140625" style="11"/>
    <col min="267" max="267" width="14.7109375" style="11" customWidth="1"/>
    <col min="268" max="268" width="12" style="11" bestFit="1" customWidth="1"/>
    <col min="269" max="270" width="12" style="11" customWidth="1"/>
    <col min="271" max="271" width="3.85546875" style="11" bestFit="1" customWidth="1"/>
    <col min="272" max="272" width="11.42578125" style="11" customWidth="1"/>
    <col min="273" max="273" width="11.85546875" style="11" customWidth="1"/>
    <col min="274" max="274" width="10.5703125" style="11" customWidth="1"/>
    <col min="275" max="275" width="13.7109375" style="11" customWidth="1"/>
    <col min="276" max="512" width="9.140625" style="11"/>
    <col min="513" max="513" width="3.140625" style="11" customWidth="1"/>
    <col min="514" max="514" width="11.85546875" style="11" customWidth="1"/>
    <col min="515" max="515" width="3" style="11" customWidth="1"/>
    <col min="516" max="516" width="5.42578125" style="11" customWidth="1"/>
    <col min="517" max="517" width="9.7109375" style="11" customWidth="1"/>
    <col min="518" max="518" width="8.28515625" style="11" customWidth="1"/>
    <col min="519" max="519" width="13.5703125" style="11" bestFit="1" customWidth="1"/>
    <col min="520" max="520" width="11" style="11" customWidth="1"/>
    <col min="521" max="521" width="10.85546875" style="11" customWidth="1"/>
    <col min="522" max="522" width="9.140625" style="11"/>
    <col min="523" max="523" width="14.7109375" style="11" customWidth="1"/>
    <col min="524" max="524" width="12" style="11" bestFit="1" customWidth="1"/>
    <col min="525" max="526" width="12" style="11" customWidth="1"/>
    <col min="527" max="527" width="3.85546875" style="11" bestFit="1" customWidth="1"/>
    <col min="528" max="528" width="11.42578125" style="11" customWidth="1"/>
    <col min="529" max="529" width="11.85546875" style="11" customWidth="1"/>
    <col min="530" max="530" width="10.5703125" style="11" customWidth="1"/>
    <col min="531" max="531" width="13.7109375" style="11" customWidth="1"/>
    <col min="532" max="768" width="9.140625" style="11"/>
    <col min="769" max="769" width="3.140625" style="11" customWidth="1"/>
    <col min="770" max="770" width="11.85546875" style="11" customWidth="1"/>
    <col min="771" max="771" width="3" style="11" customWidth="1"/>
    <col min="772" max="772" width="5.42578125" style="11" customWidth="1"/>
    <col min="773" max="773" width="9.7109375" style="11" customWidth="1"/>
    <col min="774" max="774" width="8.28515625" style="11" customWidth="1"/>
    <col min="775" max="775" width="13.5703125" style="11" bestFit="1" customWidth="1"/>
    <col min="776" max="776" width="11" style="11" customWidth="1"/>
    <col min="777" max="777" width="10.85546875" style="11" customWidth="1"/>
    <col min="778" max="778" width="9.140625" style="11"/>
    <col min="779" max="779" width="14.7109375" style="11" customWidth="1"/>
    <col min="780" max="780" width="12" style="11" bestFit="1" customWidth="1"/>
    <col min="781" max="782" width="12" style="11" customWidth="1"/>
    <col min="783" max="783" width="3.85546875" style="11" bestFit="1" customWidth="1"/>
    <col min="784" max="784" width="11.42578125" style="11" customWidth="1"/>
    <col min="785" max="785" width="11.85546875" style="11" customWidth="1"/>
    <col min="786" max="786" width="10.5703125" style="11" customWidth="1"/>
    <col min="787" max="787" width="13.7109375" style="11" customWidth="1"/>
    <col min="788" max="1024" width="9.140625" style="11"/>
    <col min="1025" max="1025" width="3.140625" style="11" customWidth="1"/>
    <col min="1026" max="1026" width="11.85546875" style="11" customWidth="1"/>
    <col min="1027" max="1027" width="3" style="11" customWidth="1"/>
    <col min="1028" max="1028" width="5.42578125" style="11" customWidth="1"/>
    <col min="1029" max="1029" width="9.7109375" style="11" customWidth="1"/>
    <col min="1030" max="1030" width="8.28515625" style="11" customWidth="1"/>
    <col min="1031" max="1031" width="13.5703125" style="11" bestFit="1" customWidth="1"/>
    <col min="1032" max="1032" width="11" style="11" customWidth="1"/>
    <col min="1033" max="1033" width="10.85546875" style="11" customWidth="1"/>
    <col min="1034" max="1034" width="9.140625" style="11"/>
    <col min="1035" max="1035" width="14.7109375" style="11" customWidth="1"/>
    <col min="1036" max="1036" width="12" style="11" bestFit="1" customWidth="1"/>
    <col min="1037" max="1038" width="12" style="11" customWidth="1"/>
    <col min="1039" max="1039" width="3.85546875" style="11" bestFit="1" customWidth="1"/>
    <col min="1040" max="1040" width="11.42578125" style="11" customWidth="1"/>
    <col min="1041" max="1041" width="11.85546875" style="11" customWidth="1"/>
    <col min="1042" max="1042" width="10.5703125" style="11" customWidth="1"/>
    <col min="1043" max="1043" width="13.7109375" style="11" customWidth="1"/>
    <col min="1044" max="1280" width="9.140625" style="11"/>
    <col min="1281" max="1281" width="3.140625" style="11" customWidth="1"/>
    <col min="1282" max="1282" width="11.85546875" style="11" customWidth="1"/>
    <col min="1283" max="1283" width="3" style="11" customWidth="1"/>
    <col min="1284" max="1284" width="5.42578125" style="11" customWidth="1"/>
    <col min="1285" max="1285" width="9.7109375" style="11" customWidth="1"/>
    <col min="1286" max="1286" width="8.28515625" style="11" customWidth="1"/>
    <col min="1287" max="1287" width="13.5703125" style="11" bestFit="1" customWidth="1"/>
    <col min="1288" max="1288" width="11" style="11" customWidth="1"/>
    <col min="1289" max="1289" width="10.85546875" style="11" customWidth="1"/>
    <col min="1290" max="1290" width="9.140625" style="11"/>
    <col min="1291" max="1291" width="14.7109375" style="11" customWidth="1"/>
    <col min="1292" max="1292" width="12" style="11" bestFit="1" customWidth="1"/>
    <col min="1293" max="1294" width="12" style="11" customWidth="1"/>
    <col min="1295" max="1295" width="3.85546875" style="11" bestFit="1" customWidth="1"/>
    <col min="1296" max="1296" width="11.42578125" style="11" customWidth="1"/>
    <col min="1297" max="1297" width="11.85546875" style="11" customWidth="1"/>
    <col min="1298" max="1298" width="10.5703125" style="11" customWidth="1"/>
    <col min="1299" max="1299" width="13.7109375" style="11" customWidth="1"/>
    <col min="1300" max="1536" width="9.140625" style="11"/>
    <col min="1537" max="1537" width="3.140625" style="11" customWidth="1"/>
    <col min="1538" max="1538" width="11.85546875" style="11" customWidth="1"/>
    <col min="1539" max="1539" width="3" style="11" customWidth="1"/>
    <col min="1540" max="1540" width="5.42578125" style="11" customWidth="1"/>
    <col min="1541" max="1541" width="9.7109375" style="11" customWidth="1"/>
    <col min="1542" max="1542" width="8.28515625" style="11" customWidth="1"/>
    <col min="1543" max="1543" width="13.5703125" style="11" bestFit="1" customWidth="1"/>
    <col min="1544" max="1544" width="11" style="11" customWidth="1"/>
    <col min="1545" max="1545" width="10.85546875" style="11" customWidth="1"/>
    <col min="1546" max="1546" width="9.140625" style="11"/>
    <col min="1547" max="1547" width="14.7109375" style="11" customWidth="1"/>
    <col min="1548" max="1548" width="12" style="11" bestFit="1" customWidth="1"/>
    <col min="1549" max="1550" width="12" style="11" customWidth="1"/>
    <col min="1551" max="1551" width="3.85546875" style="11" bestFit="1" customWidth="1"/>
    <col min="1552" max="1552" width="11.42578125" style="11" customWidth="1"/>
    <col min="1553" max="1553" width="11.85546875" style="11" customWidth="1"/>
    <col min="1554" max="1554" width="10.5703125" style="11" customWidth="1"/>
    <col min="1555" max="1555" width="13.7109375" style="11" customWidth="1"/>
    <col min="1556" max="1792" width="9.140625" style="11"/>
    <col min="1793" max="1793" width="3.140625" style="11" customWidth="1"/>
    <col min="1794" max="1794" width="11.85546875" style="11" customWidth="1"/>
    <col min="1795" max="1795" width="3" style="11" customWidth="1"/>
    <col min="1796" max="1796" width="5.42578125" style="11" customWidth="1"/>
    <col min="1797" max="1797" width="9.7109375" style="11" customWidth="1"/>
    <col min="1798" max="1798" width="8.28515625" style="11" customWidth="1"/>
    <col min="1799" max="1799" width="13.5703125" style="11" bestFit="1" customWidth="1"/>
    <col min="1800" max="1800" width="11" style="11" customWidth="1"/>
    <col min="1801" max="1801" width="10.85546875" style="11" customWidth="1"/>
    <col min="1802" max="1802" width="9.140625" style="11"/>
    <col min="1803" max="1803" width="14.7109375" style="11" customWidth="1"/>
    <col min="1804" max="1804" width="12" style="11" bestFit="1" customWidth="1"/>
    <col min="1805" max="1806" width="12" style="11" customWidth="1"/>
    <col min="1807" max="1807" width="3.85546875" style="11" bestFit="1" customWidth="1"/>
    <col min="1808" max="1808" width="11.42578125" style="11" customWidth="1"/>
    <col min="1809" max="1809" width="11.85546875" style="11" customWidth="1"/>
    <col min="1810" max="1810" width="10.5703125" style="11" customWidth="1"/>
    <col min="1811" max="1811" width="13.7109375" style="11" customWidth="1"/>
    <col min="1812" max="2048" width="9.140625" style="11"/>
    <col min="2049" max="2049" width="3.140625" style="11" customWidth="1"/>
    <col min="2050" max="2050" width="11.85546875" style="11" customWidth="1"/>
    <col min="2051" max="2051" width="3" style="11" customWidth="1"/>
    <col min="2052" max="2052" width="5.42578125" style="11" customWidth="1"/>
    <col min="2053" max="2053" width="9.7109375" style="11" customWidth="1"/>
    <col min="2054" max="2054" width="8.28515625" style="11" customWidth="1"/>
    <col min="2055" max="2055" width="13.5703125" style="11" bestFit="1" customWidth="1"/>
    <col min="2056" max="2056" width="11" style="11" customWidth="1"/>
    <col min="2057" max="2057" width="10.85546875" style="11" customWidth="1"/>
    <col min="2058" max="2058" width="9.140625" style="11"/>
    <col min="2059" max="2059" width="14.7109375" style="11" customWidth="1"/>
    <col min="2060" max="2060" width="12" style="11" bestFit="1" customWidth="1"/>
    <col min="2061" max="2062" width="12" style="11" customWidth="1"/>
    <col min="2063" max="2063" width="3.85546875" style="11" bestFit="1" customWidth="1"/>
    <col min="2064" max="2064" width="11.42578125" style="11" customWidth="1"/>
    <col min="2065" max="2065" width="11.85546875" style="11" customWidth="1"/>
    <col min="2066" max="2066" width="10.5703125" style="11" customWidth="1"/>
    <col min="2067" max="2067" width="13.7109375" style="11" customWidth="1"/>
    <col min="2068" max="2304" width="9.140625" style="11"/>
    <col min="2305" max="2305" width="3.140625" style="11" customWidth="1"/>
    <col min="2306" max="2306" width="11.85546875" style="11" customWidth="1"/>
    <col min="2307" max="2307" width="3" style="11" customWidth="1"/>
    <col min="2308" max="2308" width="5.42578125" style="11" customWidth="1"/>
    <col min="2309" max="2309" width="9.7109375" style="11" customWidth="1"/>
    <col min="2310" max="2310" width="8.28515625" style="11" customWidth="1"/>
    <col min="2311" max="2311" width="13.5703125" style="11" bestFit="1" customWidth="1"/>
    <col min="2312" max="2312" width="11" style="11" customWidth="1"/>
    <col min="2313" max="2313" width="10.85546875" style="11" customWidth="1"/>
    <col min="2314" max="2314" width="9.140625" style="11"/>
    <col min="2315" max="2315" width="14.7109375" style="11" customWidth="1"/>
    <col min="2316" max="2316" width="12" style="11" bestFit="1" customWidth="1"/>
    <col min="2317" max="2318" width="12" style="11" customWidth="1"/>
    <col min="2319" max="2319" width="3.85546875" style="11" bestFit="1" customWidth="1"/>
    <col min="2320" max="2320" width="11.42578125" style="11" customWidth="1"/>
    <col min="2321" max="2321" width="11.85546875" style="11" customWidth="1"/>
    <col min="2322" max="2322" width="10.5703125" style="11" customWidth="1"/>
    <col min="2323" max="2323" width="13.7109375" style="11" customWidth="1"/>
    <col min="2324" max="2560" width="9.140625" style="11"/>
    <col min="2561" max="2561" width="3.140625" style="11" customWidth="1"/>
    <col min="2562" max="2562" width="11.85546875" style="11" customWidth="1"/>
    <col min="2563" max="2563" width="3" style="11" customWidth="1"/>
    <col min="2564" max="2564" width="5.42578125" style="11" customWidth="1"/>
    <col min="2565" max="2565" width="9.7109375" style="11" customWidth="1"/>
    <col min="2566" max="2566" width="8.28515625" style="11" customWidth="1"/>
    <col min="2567" max="2567" width="13.5703125" style="11" bestFit="1" customWidth="1"/>
    <col min="2568" max="2568" width="11" style="11" customWidth="1"/>
    <col min="2569" max="2569" width="10.85546875" style="11" customWidth="1"/>
    <col min="2570" max="2570" width="9.140625" style="11"/>
    <col min="2571" max="2571" width="14.7109375" style="11" customWidth="1"/>
    <col min="2572" max="2572" width="12" style="11" bestFit="1" customWidth="1"/>
    <col min="2573" max="2574" width="12" style="11" customWidth="1"/>
    <col min="2575" max="2575" width="3.85546875" style="11" bestFit="1" customWidth="1"/>
    <col min="2576" max="2576" width="11.42578125" style="11" customWidth="1"/>
    <col min="2577" max="2577" width="11.85546875" style="11" customWidth="1"/>
    <col min="2578" max="2578" width="10.5703125" style="11" customWidth="1"/>
    <col min="2579" max="2579" width="13.7109375" style="11" customWidth="1"/>
    <col min="2580" max="2816" width="9.140625" style="11"/>
    <col min="2817" max="2817" width="3.140625" style="11" customWidth="1"/>
    <col min="2818" max="2818" width="11.85546875" style="11" customWidth="1"/>
    <col min="2819" max="2819" width="3" style="11" customWidth="1"/>
    <col min="2820" max="2820" width="5.42578125" style="11" customWidth="1"/>
    <col min="2821" max="2821" width="9.7109375" style="11" customWidth="1"/>
    <col min="2822" max="2822" width="8.28515625" style="11" customWidth="1"/>
    <col min="2823" max="2823" width="13.5703125" style="11" bestFit="1" customWidth="1"/>
    <col min="2824" max="2824" width="11" style="11" customWidth="1"/>
    <col min="2825" max="2825" width="10.85546875" style="11" customWidth="1"/>
    <col min="2826" max="2826" width="9.140625" style="11"/>
    <col min="2827" max="2827" width="14.7109375" style="11" customWidth="1"/>
    <col min="2828" max="2828" width="12" style="11" bestFit="1" customWidth="1"/>
    <col min="2829" max="2830" width="12" style="11" customWidth="1"/>
    <col min="2831" max="2831" width="3.85546875" style="11" bestFit="1" customWidth="1"/>
    <col min="2832" max="2832" width="11.42578125" style="11" customWidth="1"/>
    <col min="2833" max="2833" width="11.85546875" style="11" customWidth="1"/>
    <col min="2834" max="2834" width="10.5703125" style="11" customWidth="1"/>
    <col min="2835" max="2835" width="13.7109375" style="11" customWidth="1"/>
    <col min="2836" max="3072" width="9.140625" style="11"/>
    <col min="3073" max="3073" width="3.140625" style="11" customWidth="1"/>
    <col min="3074" max="3074" width="11.85546875" style="11" customWidth="1"/>
    <col min="3075" max="3075" width="3" style="11" customWidth="1"/>
    <col min="3076" max="3076" width="5.42578125" style="11" customWidth="1"/>
    <col min="3077" max="3077" width="9.7109375" style="11" customWidth="1"/>
    <col min="3078" max="3078" width="8.28515625" style="11" customWidth="1"/>
    <col min="3079" max="3079" width="13.5703125" style="11" bestFit="1" customWidth="1"/>
    <col min="3080" max="3080" width="11" style="11" customWidth="1"/>
    <col min="3081" max="3081" width="10.85546875" style="11" customWidth="1"/>
    <col min="3082" max="3082" width="9.140625" style="11"/>
    <col min="3083" max="3083" width="14.7109375" style="11" customWidth="1"/>
    <col min="3084" max="3084" width="12" style="11" bestFit="1" customWidth="1"/>
    <col min="3085" max="3086" width="12" style="11" customWidth="1"/>
    <col min="3087" max="3087" width="3.85546875" style="11" bestFit="1" customWidth="1"/>
    <col min="3088" max="3088" width="11.42578125" style="11" customWidth="1"/>
    <col min="3089" max="3089" width="11.85546875" style="11" customWidth="1"/>
    <col min="3090" max="3090" width="10.5703125" style="11" customWidth="1"/>
    <col min="3091" max="3091" width="13.7109375" style="11" customWidth="1"/>
    <col min="3092" max="3328" width="9.140625" style="11"/>
    <col min="3329" max="3329" width="3.140625" style="11" customWidth="1"/>
    <col min="3330" max="3330" width="11.85546875" style="11" customWidth="1"/>
    <col min="3331" max="3331" width="3" style="11" customWidth="1"/>
    <col min="3332" max="3332" width="5.42578125" style="11" customWidth="1"/>
    <col min="3333" max="3333" width="9.7109375" style="11" customWidth="1"/>
    <col min="3334" max="3334" width="8.28515625" style="11" customWidth="1"/>
    <col min="3335" max="3335" width="13.5703125" style="11" bestFit="1" customWidth="1"/>
    <col min="3336" max="3336" width="11" style="11" customWidth="1"/>
    <col min="3337" max="3337" width="10.85546875" style="11" customWidth="1"/>
    <col min="3338" max="3338" width="9.140625" style="11"/>
    <col min="3339" max="3339" width="14.7109375" style="11" customWidth="1"/>
    <col min="3340" max="3340" width="12" style="11" bestFit="1" customWidth="1"/>
    <col min="3341" max="3342" width="12" style="11" customWidth="1"/>
    <col min="3343" max="3343" width="3.85546875" style="11" bestFit="1" customWidth="1"/>
    <col min="3344" max="3344" width="11.42578125" style="11" customWidth="1"/>
    <col min="3345" max="3345" width="11.85546875" style="11" customWidth="1"/>
    <col min="3346" max="3346" width="10.5703125" style="11" customWidth="1"/>
    <col min="3347" max="3347" width="13.7109375" style="11" customWidth="1"/>
    <col min="3348" max="3584" width="9.140625" style="11"/>
    <col min="3585" max="3585" width="3.140625" style="11" customWidth="1"/>
    <col min="3586" max="3586" width="11.85546875" style="11" customWidth="1"/>
    <col min="3587" max="3587" width="3" style="11" customWidth="1"/>
    <col min="3588" max="3588" width="5.42578125" style="11" customWidth="1"/>
    <col min="3589" max="3589" width="9.7109375" style="11" customWidth="1"/>
    <col min="3590" max="3590" width="8.28515625" style="11" customWidth="1"/>
    <col min="3591" max="3591" width="13.5703125" style="11" bestFit="1" customWidth="1"/>
    <col min="3592" max="3592" width="11" style="11" customWidth="1"/>
    <col min="3593" max="3593" width="10.85546875" style="11" customWidth="1"/>
    <col min="3594" max="3594" width="9.140625" style="11"/>
    <col min="3595" max="3595" width="14.7109375" style="11" customWidth="1"/>
    <col min="3596" max="3596" width="12" style="11" bestFit="1" customWidth="1"/>
    <col min="3597" max="3598" width="12" style="11" customWidth="1"/>
    <col min="3599" max="3599" width="3.85546875" style="11" bestFit="1" customWidth="1"/>
    <col min="3600" max="3600" width="11.42578125" style="11" customWidth="1"/>
    <col min="3601" max="3601" width="11.85546875" style="11" customWidth="1"/>
    <col min="3602" max="3602" width="10.5703125" style="11" customWidth="1"/>
    <col min="3603" max="3603" width="13.7109375" style="11" customWidth="1"/>
    <col min="3604" max="3840" width="9.140625" style="11"/>
    <col min="3841" max="3841" width="3.140625" style="11" customWidth="1"/>
    <col min="3842" max="3842" width="11.85546875" style="11" customWidth="1"/>
    <col min="3843" max="3843" width="3" style="11" customWidth="1"/>
    <col min="3844" max="3844" width="5.42578125" style="11" customWidth="1"/>
    <col min="3845" max="3845" width="9.7109375" style="11" customWidth="1"/>
    <col min="3846" max="3846" width="8.28515625" style="11" customWidth="1"/>
    <col min="3847" max="3847" width="13.5703125" style="11" bestFit="1" customWidth="1"/>
    <col min="3848" max="3848" width="11" style="11" customWidth="1"/>
    <col min="3849" max="3849" width="10.85546875" style="11" customWidth="1"/>
    <col min="3850" max="3850" width="9.140625" style="11"/>
    <col min="3851" max="3851" width="14.7109375" style="11" customWidth="1"/>
    <col min="3852" max="3852" width="12" style="11" bestFit="1" customWidth="1"/>
    <col min="3853" max="3854" width="12" style="11" customWidth="1"/>
    <col min="3855" max="3855" width="3.85546875" style="11" bestFit="1" customWidth="1"/>
    <col min="3856" max="3856" width="11.42578125" style="11" customWidth="1"/>
    <col min="3857" max="3857" width="11.85546875" style="11" customWidth="1"/>
    <col min="3858" max="3858" width="10.5703125" style="11" customWidth="1"/>
    <col min="3859" max="3859" width="13.7109375" style="11" customWidth="1"/>
    <col min="3860" max="4096" width="9.140625" style="11"/>
    <col min="4097" max="4097" width="3.140625" style="11" customWidth="1"/>
    <col min="4098" max="4098" width="11.85546875" style="11" customWidth="1"/>
    <col min="4099" max="4099" width="3" style="11" customWidth="1"/>
    <col min="4100" max="4100" width="5.42578125" style="11" customWidth="1"/>
    <col min="4101" max="4101" width="9.7109375" style="11" customWidth="1"/>
    <col min="4102" max="4102" width="8.28515625" style="11" customWidth="1"/>
    <col min="4103" max="4103" width="13.5703125" style="11" bestFit="1" customWidth="1"/>
    <col min="4104" max="4104" width="11" style="11" customWidth="1"/>
    <col min="4105" max="4105" width="10.85546875" style="11" customWidth="1"/>
    <col min="4106" max="4106" width="9.140625" style="11"/>
    <col min="4107" max="4107" width="14.7109375" style="11" customWidth="1"/>
    <col min="4108" max="4108" width="12" style="11" bestFit="1" customWidth="1"/>
    <col min="4109" max="4110" width="12" style="11" customWidth="1"/>
    <col min="4111" max="4111" width="3.85546875" style="11" bestFit="1" customWidth="1"/>
    <col min="4112" max="4112" width="11.42578125" style="11" customWidth="1"/>
    <col min="4113" max="4113" width="11.85546875" style="11" customWidth="1"/>
    <col min="4114" max="4114" width="10.5703125" style="11" customWidth="1"/>
    <col min="4115" max="4115" width="13.7109375" style="11" customWidth="1"/>
    <col min="4116" max="4352" width="9.140625" style="11"/>
    <col min="4353" max="4353" width="3.140625" style="11" customWidth="1"/>
    <col min="4354" max="4354" width="11.85546875" style="11" customWidth="1"/>
    <col min="4355" max="4355" width="3" style="11" customWidth="1"/>
    <col min="4356" max="4356" width="5.42578125" style="11" customWidth="1"/>
    <col min="4357" max="4357" width="9.7109375" style="11" customWidth="1"/>
    <col min="4358" max="4358" width="8.28515625" style="11" customWidth="1"/>
    <col min="4359" max="4359" width="13.5703125" style="11" bestFit="1" customWidth="1"/>
    <col min="4360" max="4360" width="11" style="11" customWidth="1"/>
    <col min="4361" max="4361" width="10.85546875" style="11" customWidth="1"/>
    <col min="4362" max="4362" width="9.140625" style="11"/>
    <col min="4363" max="4363" width="14.7109375" style="11" customWidth="1"/>
    <col min="4364" max="4364" width="12" style="11" bestFit="1" customWidth="1"/>
    <col min="4365" max="4366" width="12" style="11" customWidth="1"/>
    <col min="4367" max="4367" width="3.85546875" style="11" bestFit="1" customWidth="1"/>
    <col min="4368" max="4368" width="11.42578125" style="11" customWidth="1"/>
    <col min="4369" max="4369" width="11.85546875" style="11" customWidth="1"/>
    <col min="4370" max="4370" width="10.5703125" style="11" customWidth="1"/>
    <col min="4371" max="4371" width="13.7109375" style="11" customWidth="1"/>
    <col min="4372" max="4608" width="9.140625" style="11"/>
    <col min="4609" max="4609" width="3.140625" style="11" customWidth="1"/>
    <col min="4610" max="4610" width="11.85546875" style="11" customWidth="1"/>
    <col min="4611" max="4611" width="3" style="11" customWidth="1"/>
    <col min="4612" max="4612" width="5.42578125" style="11" customWidth="1"/>
    <col min="4613" max="4613" width="9.7109375" style="11" customWidth="1"/>
    <col min="4614" max="4614" width="8.28515625" style="11" customWidth="1"/>
    <col min="4615" max="4615" width="13.5703125" style="11" bestFit="1" customWidth="1"/>
    <col min="4616" max="4616" width="11" style="11" customWidth="1"/>
    <col min="4617" max="4617" width="10.85546875" style="11" customWidth="1"/>
    <col min="4618" max="4618" width="9.140625" style="11"/>
    <col min="4619" max="4619" width="14.7109375" style="11" customWidth="1"/>
    <col min="4620" max="4620" width="12" style="11" bestFit="1" customWidth="1"/>
    <col min="4621" max="4622" width="12" style="11" customWidth="1"/>
    <col min="4623" max="4623" width="3.85546875" style="11" bestFit="1" customWidth="1"/>
    <col min="4624" max="4624" width="11.42578125" style="11" customWidth="1"/>
    <col min="4625" max="4625" width="11.85546875" style="11" customWidth="1"/>
    <col min="4626" max="4626" width="10.5703125" style="11" customWidth="1"/>
    <col min="4627" max="4627" width="13.7109375" style="11" customWidth="1"/>
    <col min="4628" max="4864" width="9.140625" style="11"/>
    <col min="4865" max="4865" width="3.140625" style="11" customWidth="1"/>
    <col min="4866" max="4866" width="11.85546875" style="11" customWidth="1"/>
    <col min="4867" max="4867" width="3" style="11" customWidth="1"/>
    <col min="4868" max="4868" width="5.42578125" style="11" customWidth="1"/>
    <col min="4869" max="4869" width="9.7109375" style="11" customWidth="1"/>
    <col min="4870" max="4870" width="8.28515625" style="11" customWidth="1"/>
    <col min="4871" max="4871" width="13.5703125" style="11" bestFit="1" customWidth="1"/>
    <col min="4872" max="4872" width="11" style="11" customWidth="1"/>
    <col min="4873" max="4873" width="10.85546875" style="11" customWidth="1"/>
    <col min="4874" max="4874" width="9.140625" style="11"/>
    <col min="4875" max="4875" width="14.7109375" style="11" customWidth="1"/>
    <col min="4876" max="4876" width="12" style="11" bestFit="1" customWidth="1"/>
    <col min="4877" max="4878" width="12" style="11" customWidth="1"/>
    <col min="4879" max="4879" width="3.85546875" style="11" bestFit="1" customWidth="1"/>
    <col min="4880" max="4880" width="11.42578125" style="11" customWidth="1"/>
    <col min="4881" max="4881" width="11.85546875" style="11" customWidth="1"/>
    <col min="4882" max="4882" width="10.5703125" style="11" customWidth="1"/>
    <col min="4883" max="4883" width="13.7109375" style="11" customWidth="1"/>
    <col min="4884" max="5120" width="9.140625" style="11"/>
    <col min="5121" max="5121" width="3.140625" style="11" customWidth="1"/>
    <col min="5122" max="5122" width="11.85546875" style="11" customWidth="1"/>
    <col min="5123" max="5123" width="3" style="11" customWidth="1"/>
    <col min="5124" max="5124" width="5.42578125" style="11" customWidth="1"/>
    <col min="5125" max="5125" width="9.7109375" style="11" customWidth="1"/>
    <col min="5126" max="5126" width="8.28515625" style="11" customWidth="1"/>
    <col min="5127" max="5127" width="13.5703125" style="11" bestFit="1" customWidth="1"/>
    <col min="5128" max="5128" width="11" style="11" customWidth="1"/>
    <col min="5129" max="5129" width="10.85546875" style="11" customWidth="1"/>
    <col min="5130" max="5130" width="9.140625" style="11"/>
    <col min="5131" max="5131" width="14.7109375" style="11" customWidth="1"/>
    <col min="5132" max="5132" width="12" style="11" bestFit="1" customWidth="1"/>
    <col min="5133" max="5134" width="12" style="11" customWidth="1"/>
    <col min="5135" max="5135" width="3.85546875" style="11" bestFit="1" customWidth="1"/>
    <col min="5136" max="5136" width="11.42578125" style="11" customWidth="1"/>
    <col min="5137" max="5137" width="11.85546875" style="11" customWidth="1"/>
    <col min="5138" max="5138" width="10.5703125" style="11" customWidth="1"/>
    <col min="5139" max="5139" width="13.7109375" style="11" customWidth="1"/>
    <col min="5140" max="5376" width="9.140625" style="11"/>
    <col min="5377" max="5377" width="3.140625" style="11" customWidth="1"/>
    <col min="5378" max="5378" width="11.85546875" style="11" customWidth="1"/>
    <col min="5379" max="5379" width="3" style="11" customWidth="1"/>
    <col min="5380" max="5380" width="5.42578125" style="11" customWidth="1"/>
    <col min="5381" max="5381" width="9.7109375" style="11" customWidth="1"/>
    <col min="5382" max="5382" width="8.28515625" style="11" customWidth="1"/>
    <col min="5383" max="5383" width="13.5703125" style="11" bestFit="1" customWidth="1"/>
    <col min="5384" max="5384" width="11" style="11" customWidth="1"/>
    <col min="5385" max="5385" width="10.85546875" style="11" customWidth="1"/>
    <col min="5386" max="5386" width="9.140625" style="11"/>
    <col min="5387" max="5387" width="14.7109375" style="11" customWidth="1"/>
    <col min="5388" max="5388" width="12" style="11" bestFit="1" customWidth="1"/>
    <col min="5389" max="5390" width="12" style="11" customWidth="1"/>
    <col min="5391" max="5391" width="3.85546875" style="11" bestFit="1" customWidth="1"/>
    <col min="5392" max="5392" width="11.42578125" style="11" customWidth="1"/>
    <col min="5393" max="5393" width="11.85546875" style="11" customWidth="1"/>
    <col min="5394" max="5394" width="10.5703125" style="11" customWidth="1"/>
    <col min="5395" max="5395" width="13.7109375" style="11" customWidth="1"/>
    <col min="5396" max="5632" width="9.140625" style="11"/>
    <col min="5633" max="5633" width="3.140625" style="11" customWidth="1"/>
    <col min="5634" max="5634" width="11.85546875" style="11" customWidth="1"/>
    <col min="5635" max="5635" width="3" style="11" customWidth="1"/>
    <col min="5636" max="5636" width="5.42578125" style="11" customWidth="1"/>
    <col min="5637" max="5637" width="9.7109375" style="11" customWidth="1"/>
    <col min="5638" max="5638" width="8.28515625" style="11" customWidth="1"/>
    <col min="5639" max="5639" width="13.5703125" style="11" bestFit="1" customWidth="1"/>
    <col min="5640" max="5640" width="11" style="11" customWidth="1"/>
    <col min="5641" max="5641" width="10.85546875" style="11" customWidth="1"/>
    <col min="5642" max="5642" width="9.140625" style="11"/>
    <col min="5643" max="5643" width="14.7109375" style="11" customWidth="1"/>
    <col min="5644" max="5644" width="12" style="11" bestFit="1" customWidth="1"/>
    <col min="5645" max="5646" width="12" style="11" customWidth="1"/>
    <col min="5647" max="5647" width="3.85546875" style="11" bestFit="1" customWidth="1"/>
    <col min="5648" max="5648" width="11.42578125" style="11" customWidth="1"/>
    <col min="5649" max="5649" width="11.85546875" style="11" customWidth="1"/>
    <col min="5650" max="5650" width="10.5703125" style="11" customWidth="1"/>
    <col min="5651" max="5651" width="13.7109375" style="11" customWidth="1"/>
    <col min="5652" max="5888" width="9.140625" style="11"/>
    <col min="5889" max="5889" width="3.140625" style="11" customWidth="1"/>
    <col min="5890" max="5890" width="11.85546875" style="11" customWidth="1"/>
    <col min="5891" max="5891" width="3" style="11" customWidth="1"/>
    <col min="5892" max="5892" width="5.42578125" style="11" customWidth="1"/>
    <col min="5893" max="5893" width="9.7109375" style="11" customWidth="1"/>
    <col min="5894" max="5894" width="8.28515625" style="11" customWidth="1"/>
    <col min="5895" max="5895" width="13.5703125" style="11" bestFit="1" customWidth="1"/>
    <col min="5896" max="5896" width="11" style="11" customWidth="1"/>
    <col min="5897" max="5897" width="10.85546875" style="11" customWidth="1"/>
    <col min="5898" max="5898" width="9.140625" style="11"/>
    <col min="5899" max="5899" width="14.7109375" style="11" customWidth="1"/>
    <col min="5900" max="5900" width="12" style="11" bestFit="1" customWidth="1"/>
    <col min="5901" max="5902" width="12" style="11" customWidth="1"/>
    <col min="5903" max="5903" width="3.85546875" style="11" bestFit="1" customWidth="1"/>
    <col min="5904" max="5904" width="11.42578125" style="11" customWidth="1"/>
    <col min="5905" max="5905" width="11.85546875" style="11" customWidth="1"/>
    <col min="5906" max="5906" width="10.5703125" style="11" customWidth="1"/>
    <col min="5907" max="5907" width="13.7109375" style="11" customWidth="1"/>
    <col min="5908" max="6144" width="9.140625" style="11"/>
    <col min="6145" max="6145" width="3.140625" style="11" customWidth="1"/>
    <col min="6146" max="6146" width="11.85546875" style="11" customWidth="1"/>
    <col min="6147" max="6147" width="3" style="11" customWidth="1"/>
    <col min="6148" max="6148" width="5.42578125" style="11" customWidth="1"/>
    <col min="6149" max="6149" width="9.7109375" style="11" customWidth="1"/>
    <col min="6150" max="6150" width="8.28515625" style="11" customWidth="1"/>
    <col min="6151" max="6151" width="13.5703125" style="11" bestFit="1" customWidth="1"/>
    <col min="6152" max="6152" width="11" style="11" customWidth="1"/>
    <col min="6153" max="6153" width="10.85546875" style="11" customWidth="1"/>
    <col min="6154" max="6154" width="9.140625" style="11"/>
    <col min="6155" max="6155" width="14.7109375" style="11" customWidth="1"/>
    <col min="6156" max="6156" width="12" style="11" bestFit="1" customWidth="1"/>
    <col min="6157" max="6158" width="12" style="11" customWidth="1"/>
    <col min="6159" max="6159" width="3.85546875" style="11" bestFit="1" customWidth="1"/>
    <col min="6160" max="6160" width="11.42578125" style="11" customWidth="1"/>
    <col min="6161" max="6161" width="11.85546875" style="11" customWidth="1"/>
    <col min="6162" max="6162" width="10.5703125" style="11" customWidth="1"/>
    <col min="6163" max="6163" width="13.7109375" style="11" customWidth="1"/>
    <col min="6164" max="6400" width="9.140625" style="11"/>
    <col min="6401" max="6401" width="3.140625" style="11" customWidth="1"/>
    <col min="6402" max="6402" width="11.85546875" style="11" customWidth="1"/>
    <col min="6403" max="6403" width="3" style="11" customWidth="1"/>
    <col min="6404" max="6404" width="5.42578125" style="11" customWidth="1"/>
    <col min="6405" max="6405" width="9.7109375" style="11" customWidth="1"/>
    <col min="6406" max="6406" width="8.28515625" style="11" customWidth="1"/>
    <col min="6407" max="6407" width="13.5703125" style="11" bestFit="1" customWidth="1"/>
    <col min="6408" max="6408" width="11" style="11" customWidth="1"/>
    <col min="6409" max="6409" width="10.85546875" style="11" customWidth="1"/>
    <col min="6410" max="6410" width="9.140625" style="11"/>
    <col min="6411" max="6411" width="14.7109375" style="11" customWidth="1"/>
    <col min="6412" max="6412" width="12" style="11" bestFit="1" customWidth="1"/>
    <col min="6413" max="6414" width="12" style="11" customWidth="1"/>
    <col min="6415" max="6415" width="3.85546875" style="11" bestFit="1" customWidth="1"/>
    <col min="6416" max="6416" width="11.42578125" style="11" customWidth="1"/>
    <col min="6417" max="6417" width="11.85546875" style="11" customWidth="1"/>
    <col min="6418" max="6418" width="10.5703125" style="11" customWidth="1"/>
    <col min="6419" max="6419" width="13.7109375" style="11" customWidth="1"/>
    <col min="6420" max="6656" width="9.140625" style="11"/>
    <col min="6657" max="6657" width="3.140625" style="11" customWidth="1"/>
    <col min="6658" max="6658" width="11.85546875" style="11" customWidth="1"/>
    <col min="6659" max="6659" width="3" style="11" customWidth="1"/>
    <col min="6660" max="6660" width="5.42578125" style="11" customWidth="1"/>
    <col min="6661" max="6661" width="9.7109375" style="11" customWidth="1"/>
    <col min="6662" max="6662" width="8.28515625" style="11" customWidth="1"/>
    <col min="6663" max="6663" width="13.5703125" style="11" bestFit="1" customWidth="1"/>
    <col min="6664" max="6664" width="11" style="11" customWidth="1"/>
    <col min="6665" max="6665" width="10.85546875" style="11" customWidth="1"/>
    <col min="6666" max="6666" width="9.140625" style="11"/>
    <col min="6667" max="6667" width="14.7109375" style="11" customWidth="1"/>
    <col min="6668" max="6668" width="12" style="11" bestFit="1" customWidth="1"/>
    <col min="6669" max="6670" width="12" style="11" customWidth="1"/>
    <col min="6671" max="6671" width="3.85546875" style="11" bestFit="1" customWidth="1"/>
    <col min="6672" max="6672" width="11.42578125" style="11" customWidth="1"/>
    <col min="6673" max="6673" width="11.85546875" style="11" customWidth="1"/>
    <col min="6674" max="6674" width="10.5703125" style="11" customWidth="1"/>
    <col min="6675" max="6675" width="13.7109375" style="11" customWidth="1"/>
    <col min="6676" max="6912" width="9.140625" style="11"/>
    <col min="6913" max="6913" width="3.140625" style="11" customWidth="1"/>
    <col min="6914" max="6914" width="11.85546875" style="11" customWidth="1"/>
    <col min="6915" max="6915" width="3" style="11" customWidth="1"/>
    <col min="6916" max="6916" width="5.42578125" style="11" customWidth="1"/>
    <col min="6917" max="6917" width="9.7109375" style="11" customWidth="1"/>
    <col min="6918" max="6918" width="8.28515625" style="11" customWidth="1"/>
    <col min="6919" max="6919" width="13.5703125" style="11" bestFit="1" customWidth="1"/>
    <col min="6920" max="6920" width="11" style="11" customWidth="1"/>
    <col min="6921" max="6921" width="10.85546875" style="11" customWidth="1"/>
    <col min="6922" max="6922" width="9.140625" style="11"/>
    <col min="6923" max="6923" width="14.7109375" style="11" customWidth="1"/>
    <col min="6924" max="6924" width="12" style="11" bestFit="1" customWidth="1"/>
    <col min="6925" max="6926" width="12" style="11" customWidth="1"/>
    <col min="6927" max="6927" width="3.85546875" style="11" bestFit="1" customWidth="1"/>
    <col min="6928" max="6928" width="11.42578125" style="11" customWidth="1"/>
    <col min="6929" max="6929" width="11.85546875" style="11" customWidth="1"/>
    <col min="6930" max="6930" width="10.5703125" style="11" customWidth="1"/>
    <col min="6931" max="6931" width="13.7109375" style="11" customWidth="1"/>
    <col min="6932" max="7168" width="9.140625" style="11"/>
    <col min="7169" max="7169" width="3.140625" style="11" customWidth="1"/>
    <col min="7170" max="7170" width="11.85546875" style="11" customWidth="1"/>
    <col min="7171" max="7171" width="3" style="11" customWidth="1"/>
    <col min="7172" max="7172" width="5.42578125" style="11" customWidth="1"/>
    <col min="7173" max="7173" width="9.7109375" style="11" customWidth="1"/>
    <col min="7174" max="7174" width="8.28515625" style="11" customWidth="1"/>
    <col min="7175" max="7175" width="13.5703125" style="11" bestFit="1" customWidth="1"/>
    <col min="7176" max="7176" width="11" style="11" customWidth="1"/>
    <col min="7177" max="7177" width="10.85546875" style="11" customWidth="1"/>
    <col min="7178" max="7178" width="9.140625" style="11"/>
    <col min="7179" max="7179" width="14.7109375" style="11" customWidth="1"/>
    <col min="7180" max="7180" width="12" style="11" bestFit="1" customWidth="1"/>
    <col min="7181" max="7182" width="12" style="11" customWidth="1"/>
    <col min="7183" max="7183" width="3.85546875" style="11" bestFit="1" customWidth="1"/>
    <col min="7184" max="7184" width="11.42578125" style="11" customWidth="1"/>
    <col min="7185" max="7185" width="11.85546875" style="11" customWidth="1"/>
    <col min="7186" max="7186" width="10.5703125" style="11" customWidth="1"/>
    <col min="7187" max="7187" width="13.7109375" style="11" customWidth="1"/>
    <col min="7188" max="7424" width="9.140625" style="11"/>
    <col min="7425" max="7425" width="3.140625" style="11" customWidth="1"/>
    <col min="7426" max="7426" width="11.85546875" style="11" customWidth="1"/>
    <col min="7427" max="7427" width="3" style="11" customWidth="1"/>
    <col min="7428" max="7428" width="5.42578125" style="11" customWidth="1"/>
    <col min="7429" max="7429" width="9.7109375" style="11" customWidth="1"/>
    <col min="7430" max="7430" width="8.28515625" style="11" customWidth="1"/>
    <col min="7431" max="7431" width="13.5703125" style="11" bestFit="1" customWidth="1"/>
    <col min="7432" max="7432" width="11" style="11" customWidth="1"/>
    <col min="7433" max="7433" width="10.85546875" style="11" customWidth="1"/>
    <col min="7434" max="7434" width="9.140625" style="11"/>
    <col min="7435" max="7435" width="14.7109375" style="11" customWidth="1"/>
    <col min="7436" max="7436" width="12" style="11" bestFit="1" customWidth="1"/>
    <col min="7437" max="7438" width="12" style="11" customWidth="1"/>
    <col min="7439" max="7439" width="3.85546875" style="11" bestFit="1" customWidth="1"/>
    <col min="7440" max="7440" width="11.42578125" style="11" customWidth="1"/>
    <col min="7441" max="7441" width="11.85546875" style="11" customWidth="1"/>
    <col min="7442" max="7442" width="10.5703125" style="11" customWidth="1"/>
    <col min="7443" max="7443" width="13.7109375" style="11" customWidth="1"/>
    <col min="7444" max="7680" width="9.140625" style="11"/>
    <col min="7681" max="7681" width="3.140625" style="11" customWidth="1"/>
    <col min="7682" max="7682" width="11.85546875" style="11" customWidth="1"/>
    <col min="7683" max="7683" width="3" style="11" customWidth="1"/>
    <col min="7684" max="7684" width="5.42578125" style="11" customWidth="1"/>
    <col min="7685" max="7685" width="9.7109375" style="11" customWidth="1"/>
    <col min="7686" max="7686" width="8.28515625" style="11" customWidth="1"/>
    <col min="7687" max="7687" width="13.5703125" style="11" bestFit="1" customWidth="1"/>
    <col min="7688" max="7688" width="11" style="11" customWidth="1"/>
    <col min="7689" max="7689" width="10.85546875" style="11" customWidth="1"/>
    <col min="7690" max="7690" width="9.140625" style="11"/>
    <col min="7691" max="7691" width="14.7109375" style="11" customWidth="1"/>
    <col min="7692" max="7692" width="12" style="11" bestFit="1" customWidth="1"/>
    <col min="7693" max="7694" width="12" style="11" customWidth="1"/>
    <col min="7695" max="7695" width="3.85546875" style="11" bestFit="1" customWidth="1"/>
    <col min="7696" max="7696" width="11.42578125" style="11" customWidth="1"/>
    <col min="7697" max="7697" width="11.85546875" style="11" customWidth="1"/>
    <col min="7698" max="7698" width="10.5703125" style="11" customWidth="1"/>
    <col min="7699" max="7699" width="13.7109375" style="11" customWidth="1"/>
    <col min="7700" max="7936" width="9.140625" style="11"/>
    <col min="7937" max="7937" width="3.140625" style="11" customWidth="1"/>
    <col min="7938" max="7938" width="11.85546875" style="11" customWidth="1"/>
    <col min="7939" max="7939" width="3" style="11" customWidth="1"/>
    <col min="7940" max="7940" width="5.42578125" style="11" customWidth="1"/>
    <col min="7941" max="7941" width="9.7109375" style="11" customWidth="1"/>
    <col min="7942" max="7942" width="8.28515625" style="11" customWidth="1"/>
    <col min="7943" max="7943" width="13.5703125" style="11" bestFit="1" customWidth="1"/>
    <col min="7944" max="7944" width="11" style="11" customWidth="1"/>
    <col min="7945" max="7945" width="10.85546875" style="11" customWidth="1"/>
    <col min="7946" max="7946" width="9.140625" style="11"/>
    <col min="7947" max="7947" width="14.7109375" style="11" customWidth="1"/>
    <col min="7948" max="7948" width="12" style="11" bestFit="1" customWidth="1"/>
    <col min="7949" max="7950" width="12" style="11" customWidth="1"/>
    <col min="7951" max="7951" width="3.85546875" style="11" bestFit="1" customWidth="1"/>
    <col min="7952" max="7952" width="11.42578125" style="11" customWidth="1"/>
    <col min="7953" max="7953" width="11.85546875" style="11" customWidth="1"/>
    <col min="7954" max="7954" width="10.5703125" style="11" customWidth="1"/>
    <col min="7955" max="7955" width="13.7109375" style="11" customWidth="1"/>
    <col min="7956" max="8192" width="9.140625" style="11"/>
    <col min="8193" max="8193" width="3.140625" style="11" customWidth="1"/>
    <col min="8194" max="8194" width="11.85546875" style="11" customWidth="1"/>
    <col min="8195" max="8195" width="3" style="11" customWidth="1"/>
    <col min="8196" max="8196" width="5.42578125" style="11" customWidth="1"/>
    <col min="8197" max="8197" width="9.7109375" style="11" customWidth="1"/>
    <col min="8198" max="8198" width="8.28515625" style="11" customWidth="1"/>
    <col min="8199" max="8199" width="13.5703125" style="11" bestFit="1" customWidth="1"/>
    <col min="8200" max="8200" width="11" style="11" customWidth="1"/>
    <col min="8201" max="8201" width="10.85546875" style="11" customWidth="1"/>
    <col min="8202" max="8202" width="9.140625" style="11"/>
    <col min="8203" max="8203" width="14.7109375" style="11" customWidth="1"/>
    <col min="8204" max="8204" width="12" style="11" bestFit="1" customWidth="1"/>
    <col min="8205" max="8206" width="12" style="11" customWidth="1"/>
    <col min="8207" max="8207" width="3.85546875" style="11" bestFit="1" customWidth="1"/>
    <col min="8208" max="8208" width="11.42578125" style="11" customWidth="1"/>
    <col min="8209" max="8209" width="11.85546875" style="11" customWidth="1"/>
    <col min="8210" max="8210" width="10.5703125" style="11" customWidth="1"/>
    <col min="8211" max="8211" width="13.7109375" style="11" customWidth="1"/>
    <col min="8212" max="8448" width="9.140625" style="11"/>
    <col min="8449" max="8449" width="3.140625" style="11" customWidth="1"/>
    <col min="8450" max="8450" width="11.85546875" style="11" customWidth="1"/>
    <col min="8451" max="8451" width="3" style="11" customWidth="1"/>
    <col min="8452" max="8452" width="5.42578125" style="11" customWidth="1"/>
    <col min="8453" max="8453" width="9.7109375" style="11" customWidth="1"/>
    <col min="8454" max="8454" width="8.28515625" style="11" customWidth="1"/>
    <col min="8455" max="8455" width="13.5703125" style="11" bestFit="1" customWidth="1"/>
    <col min="8456" max="8456" width="11" style="11" customWidth="1"/>
    <col min="8457" max="8457" width="10.85546875" style="11" customWidth="1"/>
    <col min="8458" max="8458" width="9.140625" style="11"/>
    <col min="8459" max="8459" width="14.7109375" style="11" customWidth="1"/>
    <col min="8460" max="8460" width="12" style="11" bestFit="1" customWidth="1"/>
    <col min="8461" max="8462" width="12" style="11" customWidth="1"/>
    <col min="8463" max="8463" width="3.85546875" style="11" bestFit="1" customWidth="1"/>
    <col min="8464" max="8464" width="11.42578125" style="11" customWidth="1"/>
    <col min="8465" max="8465" width="11.85546875" style="11" customWidth="1"/>
    <col min="8466" max="8466" width="10.5703125" style="11" customWidth="1"/>
    <col min="8467" max="8467" width="13.7109375" style="11" customWidth="1"/>
    <col min="8468" max="8704" width="9.140625" style="11"/>
    <col min="8705" max="8705" width="3.140625" style="11" customWidth="1"/>
    <col min="8706" max="8706" width="11.85546875" style="11" customWidth="1"/>
    <col min="8707" max="8707" width="3" style="11" customWidth="1"/>
    <col min="8708" max="8708" width="5.42578125" style="11" customWidth="1"/>
    <col min="8709" max="8709" width="9.7109375" style="11" customWidth="1"/>
    <col min="8710" max="8710" width="8.28515625" style="11" customWidth="1"/>
    <col min="8711" max="8711" width="13.5703125" style="11" bestFit="1" customWidth="1"/>
    <col min="8712" max="8712" width="11" style="11" customWidth="1"/>
    <col min="8713" max="8713" width="10.85546875" style="11" customWidth="1"/>
    <col min="8714" max="8714" width="9.140625" style="11"/>
    <col min="8715" max="8715" width="14.7109375" style="11" customWidth="1"/>
    <col min="8716" max="8716" width="12" style="11" bestFit="1" customWidth="1"/>
    <col min="8717" max="8718" width="12" style="11" customWidth="1"/>
    <col min="8719" max="8719" width="3.85546875" style="11" bestFit="1" customWidth="1"/>
    <col min="8720" max="8720" width="11.42578125" style="11" customWidth="1"/>
    <col min="8721" max="8721" width="11.85546875" style="11" customWidth="1"/>
    <col min="8722" max="8722" width="10.5703125" style="11" customWidth="1"/>
    <col min="8723" max="8723" width="13.7109375" style="11" customWidth="1"/>
    <col min="8724" max="8960" width="9.140625" style="11"/>
    <col min="8961" max="8961" width="3.140625" style="11" customWidth="1"/>
    <col min="8962" max="8962" width="11.85546875" style="11" customWidth="1"/>
    <col min="8963" max="8963" width="3" style="11" customWidth="1"/>
    <col min="8964" max="8964" width="5.42578125" style="11" customWidth="1"/>
    <col min="8965" max="8965" width="9.7109375" style="11" customWidth="1"/>
    <col min="8966" max="8966" width="8.28515625" style="11" customWidth="1"/>
    <col min="8967" max="8967" width="13.5703125" style="11" bestFit="1" customWidth="1"/>
    <col min="8968" max="8968" width="11" style="11" customWidth="1"/>
    <col min="8969" max="8969" width="10.85546875" style="11" customWidth="1"/>
    <col min="8970" max="8970" width="9.140625" style="11"/>
    <col min="8971" max="8971" width="14.7109375" style="11" customWidth="1"/>
    <col min="8972" max="8972" width="12" style="11" bestFit="1" customWidth="1"/>
    <col min="8973" max="8974" width="12" style="11" customWidth="1"/>
    <col min="8975" max="8975" width="3.85546875" style="11" bestFit="1" customWidth="1"/>
    <col min="8976" max="8976" width="11.42578125" style="11" customWidth="1"/>
    <col min="8977" max="8977" width="11.85546875" style="11" customWidth="1"/>
    <col min="8978" max="8978" width="10.5703125" style="11" customWidth="1"/>
    <col min="8979" max="8979" width="13.7109375" style="11" customWidth="1"/>
    <col min="8980" max="9216" width="9.140625" style="11"/>
    <col min="9217" max="9217" width="3.140625" style="11" customWidth="1"/>
    <col min="9218" max="9218" width="11.85546875" style="11" customWidth="1"/>
    <col min="9219" max="9219" width="3" style="11" customWidth="1"/>
    <col min="9220" max="9220" width="5.42578125" style="11" customWidth="1"/>
    <col min="9221" max="9221" width="9.7109375" style="11" customWidth="1"/>
    <col min="9222" max="9222" width="8.28515625" style="11" customWidth="1"/>
    <col min="9223" max="9223" width="13.5703125" style="11" bestFit="1" customWidth="1"/>
    <col min="9224" max="9224" width="11" style="11" customWidth="1"/>
    <col min="9225" max="9225" width="10.85546875" style="11" customWidth="1"/>
    <col min="9226" max="9226" width="9.140625" style="11"/>
    <col min="9227" max="9227" width="14.7109375" style="11" customWidth="1"/>
    <col min="9228" max="9228" width="12" style="11" bestFit="1" customWidth="1"/>
    <col min="9229" max="9230" width="12" style="11" customWidth="1"/>
    <col min="9231" max="9231" width="3.85546875" style="11" bestFit="1" customWidth="1"/>
    <col min="9232" max="9232" width="11.42578125" style="11" customWidth="1"/>
    <col min="9233" max="9233" width="11.85546875" style="11" customWidth="1"/>
    <col min="9234" max="9234" width="10.5703125" style="11" customWidth="1"/>
    <col min="9235" max="9235" width="13.7109375" style="11" customWidth="1"/>
    <col min="9236" max="9472" width="9.140625" style="11"/>
    <col min="9473" max="9473" width="3.140625" style="11" customWidth="1"/>
    <col min="9474" max="9474" width="11.85546875" style="11" customWidth="1"/>
    <col min="9475" max="9475" width="3" style="11" customWidth="1"/>
    <col min="9476" max="9476" width="5.42578125" style="11" customWidth="1"/>
    <col min="9477" max="9477" width="9.7109375" style="11" customWidth="1"/>
    <col min="9478" max="9478" width="8.28515625" style="11" customWidth="1"/>
    <col min="9479" max="9479" width="13.5703125" style="11" bestFit="1" customWidth="1"/>
    <col min="9480" max="9480" width="11" style="11" customWidth="1"/>
    <col min="9481" max="9481" width="10.85546875" style="11" customWidth="1"/>
    <col min="9482" max="9482" width="9.140625" style="11"/>
    <col min="9483" max="9483" width="14.7109375" style="11" customWidth="1"/>
    <col min="9484" max="9484" width="12" style="11" bestFit="1" customWidth="1"/>
    <col min="9485" max="9486" width="12" style="11" customWidth="1"/>
    <col min="9487" max="9487" width="3.85546875" style="11" bestFit="1" customWidth="1"/>
    <col min="9488" max="9488" width="11.42578125" style="11" customWidth="1"/>
    <col min="9489" max="9489" width="11.85546875" style="11" customWidth="1"/>
    <col min="9490" max="9490" width="10.5703125" style="11" customWidth="1"/>
    <col min="9491" max="9491" width="13.7109375" style="11" customWidth="1"/>
    <col min="9492" max="9728" width="9.140625" style="11"/>
    <col min="9729" max="9729" width="3.140625" style="11" customWidth="1"/>
    <col min="9730" max="9730" width="11.85546875" style="11" customWidth="1"/>
    <col min="9731" max="9731" width="3" style="11" customWidth="1"/>
    <col min="9732" max="9732" width="5.42578125" style="11" customWidth="1"/>
    <col min="9733" max="9733" width="9.7109375" style="11" customWidth="1"/>
    <col min="9734" max="9734" width="8.28515625" style="11" customWidth="1"/>
    <col min="9735" max="9735" width="13.5703125" style="11" bestFit="1" customWidth="1"/>
    <col min="9736" max="9736" width="11" style="11" customWidth="1"/>
    <col min="9737" max="9737" width="10.85546875" style="11" customWidth="1"/>
    <col min="9738" max="9738" width="9.140625" style="11"/>
    <col min="9739" max="9739" width="14.7109375" style="11" customWidth="1"/>
    <col min="9740" max="9740" width="12" style="11" bestFit="1" customWidth="1"/>
    <col min="9741" max="9742" width="12" style="11" customWidth="1"/>
    <col min="9743" max="9743" width="3.85546875" style="11" bestFit="1" customWidth="1"/>
    <col min="9744" max="9744" width="11.42578125" style="11" customWidth="1"/>
    <col min="9745" max="9745" width="11.85546875" style="11" customWidth="1"/>
    <col min="9746" max="9746" width="10.5703125" style="11" customWidth="1"/>
    <col min="9747" max="9747" width="13.7109375" style="11" customWidth="1"/>
    <col min="9748" max="9984" width="9.140625" style="11"/>
    <col min="9985" max="9985" width="3.140625" style="11" customWidth="1"/>
    <col min="9986" max="9986" width="11.85546875" style="11" customWidth="1"/>
    <col min="9987" max="9987" width="3" style="11" customWidth="1"/>
    <col min="9988" max="9988" width="5.42578125" style="11" customWidth="1"/>
    <col min="9989" max="9989" width="9.7109375" style="11" customWidth="1"/>
    <col min="9990" max="9990" width="8.28515625" style="11" customWidth="1"/>
    <col min="9991" max="9991" width="13.5703125" style="11" bestFit="1" customWidth="1"/>
    <col min="9992" max="9992" width="11" style="11" customWidth="1"/>
    <col min="9993" max="9993" width="10.85546875" style="11" customWidth="1"/>
    <col min="9994" max="9994" width="9.140625" style="11"/>
    <col min="9995" max="9995" width="14.7109375" style="11" customWidth="1"/>
    <col min="9996" max="9996" width="12" style="11" bestFit="1" customWidth="1"/>
    <col min="9997" max="9998" width="12" style="11" customWidth="1"/>
    <col min="9999" max="9999" width="3.85546875" style="11" bestFit="1" customWidth="1"/>
    <col min="10000" max="10000" width="11.42578125" style="11" customWidth="1"/>
    <col min="10001" max="10001" width="11.85546875" style="11" customWidth="1"/>
    <col min="10002" max="10002" width="10.5703125" style="11" customWidth="1"/>
    <col min="10003" max="10003" width="13.7109375" style="11" customWidth="1"/>
    <col min="10004" max="10240" width="9.140625" style="11"/>
    <col min="10241" max="10241" width="3.140625" style="11" customWidth="1"/>
    <col min="10242" max="10242" width="11.85546875" style="11" customWidth="1"/>
    <col min="10243" max="10243" width="3" style="11" customWidth="1"/>
    <col min="10244" max="10244" width="5.42578125" style="11" customWidth="1"/>
    <col min="10245" max="10245" width="9.7109375" style="11" customWidth="1"/>
    <col min="10246" max="10246" width="8.28515625" style="11" customWidth="1"/>
    <col min="10247" max="10247" width="13.5703125" style="11" bestFit="1" customWidth="1"/>
    <col min="10248" max="10248" width="11" style="11" customWidth="1"/>
    <col min="10249" max="10249" width="10.85546875" style="11" customWidth="1"/>
    <col min="10250" max="10250" width="9.140625" style="11"/>
    <col min="10251" max="10251" width="14.7109375" style="11" customWidth="1"/>
    <col min="10252" max="10252" width="12" style="11" bestFit="1" customWidth="1"/>
    <col min="10253" max="10254" width="12" style="11" customWidth="1"/>
    <col min="10255" max="10255" width="3.85546875" style="11" bestFit="1" customWidth="1"/>
    <col min="10256" max="10256" width="11.42578125" style="11" customWidth="1"/>
    <col min="10257" max="10257" width="11.85546875" style="11" customWidth="1"/>
    <col min="10258" max="10258" width="10.5703125" style="11" customWidth="1"/>
    <col min="10259" max="10259" width="13.7109375" style="11" customWidth="1"/>
    <col min="10260" max="10496" width="9.140625" style="11"/>
    <col min="10497" max="10497" width="3.140625" style="11" customWidth="1"/>
    <col min="10498" max="10498" width="11.85546875" style="11" customWidth="1"/>
    <col min="10499" max="10499" width="3" style="11" customWidth="1"/>
    <col min="10500" max="10500" width="5.42578125" style="11" customWidth="1"/>
    <col min="10501" max="10501" width="9.7109375" style="11" customWidth="1"/>
    <col min="10502" max="10502" width="8.28515625" style="11" customWidth="1"/>
    <col min="10503" max="10503" width="13.5703125" style="11" bestFit="1" customWidth="1"/>
    <col min="10504" max="10504" width="11" style="11" customWidth="1"/>
    <col min="10505" max="10505" width="10.85546875" style="11" customWidth="1"/>
    <col min="10506" max="10506" width="9.140625" style="11"/>
    <col min="10507" max="10507" width="14.7109375" style="11" customWidth="1"/>
    <col min="10508" max="10508" width="12" style="11" bestFit="1" customWidth="1"/>
    <col min="10509" max="10510" width="12" style="11" customWidth="1"/>
    <col min="10511" max="10511" width="3.85546875" style="11" bestFit="1" customWidth="1"/>
    <col min="10512" max="10512" width="11.42578125" style="11" customWidth="1"/>
    <col min="10513" max="10513" width="11.85546875" style="11" customWidth="1"/>
    <col min="10514" max="10514" width="10.5703125" style="11" customWidth="1"/>
    <col min="10515" max="10515" width="13.7109375" style="11" customWidth="1"/>
    <col min="10516" max="10752" width="9.140625" style="11"/>
    <col min="10753" max="10753" width="3.140625" style="11" customWidth="1"/>
    <col min="10754" max="10754" width="11.85546875" style="11" customWidth="1"/>
    <col min="10755" max="10755" width="3" style="11" customWidth="1"/>
    <col min="10756" max="10756" width="5.42578125" style="11" customWidth="1"/>
    <col min="10757" max="10757" width="9.7109375" style="11" customWidth="1"/>
    <col min="10758" max="10758" width="8.28515625" style="11" customWidth="1"/>
    <col min="10759" max="10759" width="13.5703125" style="11" bestFit="1" customWidth="1"/>
    <col min="10760" max="10760" width="11" style="11" customWidth="1"/>
    <col min="10761" max="10761" width="10.85546875" style="11" customWidth="1"/>
    <col min="10762" max="10762" width="9.140625" style="11"/>
    <col min="10763" max="10763" width="14.7109375" style="11" customWidth="1"/>
    <col min="10764" max="10764" width="12" style="11" bestFit="1" customWidth="1"/>
    <col min="10765" max="10766" width="12" style="11" customWidth="1"/>
    <col min="10767" max="10767" width="3.85546875" style="11" bestFit="1" customWidth="1"/>
    <col min="10768" max="10768" width="11.42578125" style="11" customWidth="1"/>
    <col min="10769" max="10769" width="11.85546875" style="11" customWidth="1"/>
    <col min="10770" max="10770" width="10.5703125" style="11" customWidth="1"/>
    <col min="10771" max="10771" width="13.7109375" style="11" customWidth="1"/>
    <col min="10772" max="11008" width="9.140625" style="11"/>
    <col min="11009" max="11009" width="3.140625" style="11" customWidth="1"/>
    <col min="11010" max="11010" width="11.85546875" style="11" customWidth="1"/>
    <col min="11011" max="11011" width="3" style="11" customWidth="1"/>
    <col min="11012" max="11012" width="5.42578125" style="11" customWidth="1"/>
    <col min="11013" max="11013" width="9.7109375" style="11" customWidth="1"/>
    <col min="11014" max="11014" width="8.28515625" style="11" customWidth="1"/>
    <col min="11015" max="11015" width="13.5703125" style="11" bestFit="1" customWidth="1"/>
    <col min="11016" max="11016" width="11" style="11" customWidth="1"/>
    <col min="11017" max="11017" width="10.85546875" style="11" customWidth="1"/>
    <col min="11018" max="11018" width="9.140625" style="11"/>
    <col min="11019" max="11019" width="14.7109375" style="11" customWidth="1"/>
    <col min="11020" max="11020" width="12" style="11" bestFit="1" customWidth="1"/>
    <col min="11021" max="11022" width="12" style="11" customWidth="1"/>
    <col min="11023" max="11023" width="3.85546875" style="11" bestFit="1" customWidth="1"/>
    <col min="11024" max="11024" width="11.42578125" style="11" customWidth="1"/>
    <col min="11025" max="11025" width="11.85546875" style="11" customWidth="1"/>
    <col min="11026" max="11026" width="10.5703125" style="11" customWidth="1"/>
    <col min="11027" max="11027" width="13.7109375" style="11" customWidth="1"/>
    <col min="11028" max="11264" width="9.140625" style="11"/>
    <col min="11265" max="11265" width="3.140625" style="11" customWidth="1"/>
    <col min="11266" max="11266" width="11.85546875" style="11" customWidth="1"/>
    <col min="11267" max="11267" width="3" style="11" customWidth="1"/>
    <col min="11268" max="11268" width="5.42578125" style="11" customWidth="1"/>
    <col min="11269" max="11269" width="9.7109375" style="11" customWidth="1"/>
    <col min="11270" max="11270" width="8.28515625" style="11" customWidth="1"/>
    <col min="11271" max="11271" width="13.5703125" style="11" bestFit="1" customWidth="1"/>
    <col min="11272" max="11272" width="11" style="11" customWidth="1"/>
    <col min="11273" max="11273" width="10.85546875" style="11" customWidth="1"/>
    <col min="11274" max="11274" width="9.140625" style="11"/>
    <col min="11275" max="11275" width="14.7109375" style="11" customWidth="1"/>
    <col min="11276" max="11276" width="12" style="11" bestFit="1" customWidth="1"/>
    <col min="11277" max="11278" width="12" style="11" customWidth="1"/>
    <col min="11279" max="11279" width="3.85546875" style="11" bestFit="1" customWidth="1"/>
    <col min="11280" max="11280" width="11.42578125" style="11" customWidth="1"/>
    <col min="11281" max="11281" width="11.85546875" style="11" customWidth="1"/>
    <col min="11282" max="11282" width="10.5703125" style="11" customWidth="1"/>
    <col min="11283" max="11283" width="13.7109375" style="11" customWidth="1"/>
    <col min="11284" max="11520" width="9.140625" style="11"/>
    <col min="11521" max="11521" width="3.140625" style="11" customWidth="1"/>
    <col min="11522" max="11522" width="11.85546875" style="11" customWidth="1"/>
    <col min="11523" max="11523" width="3" style="11" customWidth="1"/>
    <col min="11524" max="11524" width="5.42578125" style="11" customWidth="1"/>
    <col min="11525" max="11525" width="9.7109375" style="11" customWidth="1"/>
    <col min="11526" max="11526" width="8.28515625" style="11" customWidth="1"/>
    <col min="11527" max="11527" width="13.5703125" style="11" bestFit="1" customWidth="1"/>
    <col min="11528" max="11528" width="11" style="11" customWidth="1"/>
    <col min="11529" max="11529" width="10.85546875" style="11" customWidth="1"/>
    <col min="11530" max="11530" width="9.140625" style="11"/>
    <col min="11531" max="11531" width="14.7109375" style="11" customWidth="1"/>
    <col min="11532" max="11532" width="12" style="11" bestFit="1" customWidth="1"/>
    <col min="11533" max="11534" width="12" style="11" customWidth="1"/>
    <col min="11535" max="11535" width="3.85546875" style="11" bestFit="1" customWidth="1"/>
    <col min="11536" max="11536" width="11.42578125" style="11" customWidth="1"/>
    <col min="11537" max="11537" width="11.85546875" style="11" customWidth="1"/>
    <col min="11538" max="11538" width="10.5703125" style="11" customWidth="1"/>
    <col min="11539" max="11539" width="13.7109375" style="11" customWidth="1"/>
    <col min="11540" max="11776" width="9.140625" style="11"/>
    <col min="11777" max="11777" width="3.140625" style="11" customWidth="1"/>
    <col min="11778" max="11778" width="11.85546875" style="11" customWidth="1"/>
    <col min="11779" max="11779" width="3" style="11" customWidth="1"/>
    <col min="11780" max="11780" width="5.42578125" style="11" customWidth="1"/>
    <col min="11781" max="11781" width="9.7109375" style="11" customWidth="1"/>
    <col min="11782" max="11782" width="8.28515625" style="11" customWidth="1"/>
    <col min="11783" max="11783" width="13.5703125" style="11" bestFit="1" customWidth="1"/>
    <col min="11784" max="11784" width="11" style="11" customWidth="1"/>
    <col min="11785" max="11785" width="10.85546875" style="11" customWidth="1"/>
    <col min="11786" max="11786" width="9.140625" style="11"/>
    <col min="11787" max="11787" width="14.7109375" style="11" customWidth="1"/>
    <col min="11788" max="11788" width="12" style="11" bestFit="1" customWidth="1"/>
    <col min="11789" max="11790" width="12" style="11" customWidth="1"/>
    <col min="11791" max="11791" width="3.85546875" style="11" bestFit="1" customWidth="1"/>
    <col min="11792" max="11792" width="11.42578125" style="11" customWidth="1"/>
    <col min="11793" max="11793" width="11.85546875" style="11" customWidth="1"/>
    <col min="11794" max="11794" width="10.5703125" style="11" customWidth="1"/>
    <col min="11795" max="11795" width="13.7109375" style="11" customWidth="1"/>
    <col min="11796" max="12032" width="9.140625" style="11"/>
    <col min="12033" max="12033" width="3.140625" style="11" customWidth="1"/>
    <col min="12034" max="12034" width="11.85546875" style="11" customWidth="1"/>
    <col min="12035" max="12035" width="3" style="11" customWidth="1"/>
    <col min="12036" max="12036" width="5.42578125" style="11" customWidth="1"/>
    <col min="12037" max="12037" width="9.7109375" style="11" customWidth="1"/>
    <col min="12038" max="12038" width="8.28515625" style="11" customWidth="1"/>
    <col min="12039" max="12039" width="13.5703125" style="11" bestFit="1" customWidth="1"/>
    <col min="12040" max="12040" width="11" style="11" customWidth="1"/>
    <col min="12041" max="12041" width="10.85546875" style="11" customWidth="1"/>
    <col min="12042" max="12042" width="9.140625" style="11"/>
    <col min="12043" max="12043" width="14.7109375" style="11" customWidth="1"/>
    <col min="12044" max="12044" width="12" style="11" bestFit="1" customWidth="1"/>
    <col min="12045" max="12046" width="12" style="11" customWidth="1"/>
    <col min="12047" max="12047" width="3.85546875" style="11" bestFit="1" customWidth="1"/>
    <col min="12048" max="12048" width="11.42578125" style="11" customWidth="1"/>
    <col min="12049" max="12049" width="11.85546875" style="11" customWidth="1"/>
    <col min="12050" max="12050" width="10.5703125" style="11" customWidth="1"/>
    <col min="12051" max="12051" width="13.7109375" style="11" customWidth="1"/>
    <col min="12052" max="12288" width="9.140625" style="11"/>
    <col min="12289" max="12289" width="3.140625" style="11" customWidth="1"/>
    <col min="12290" max="12290" width="11.85546875" style="11" customWidth="1"/>
    <col min="12291" max="12291" width="3" style="11" customWidth="1"/>
    <col min="12292" max="12292" width="5.42578125" style="11" customWidth="1"/>
    <col min="12293" max="12293" width="9.7109375" style="11" customWidth="1"/>
    <col min="12294" max="12294" width="8.28515625" style="11" customWidth="1"/>
    <col min="12295" max="12295" width="13.5703125" style="11" bestFit="1" customWidth="1"/>
    <col min="12296" max="12296" width="11" style="11" customWidth="1"/>
    <col min="12297" max="12297" width="10.85546875" style="11" customWidth="1"/>
    <col min="12298" max="12298" width="9.140625" style="11"/>
    <col min="12299" max="12299" width="14.7109375" style="11" customWidth="1"/>
    <col min="12300" max="12300" width="12" style="11" bestFit="1" customWidth="1"/>
    <col min="12301" max="12302" width="12" style="11" customWidth="1"/>
    <col min="12303" max="12303" width="3.85546875" style="11" bestFit="1" customWidth="1"/>
    <col min="12304" max="12304" width="11.42578125" style="11" customWidth="1"/>
    <col min="12305" max="12305" width="11.85546875" style="11" customWidth="1"/>
    <col min="12306" max="12306" width="10.5703125" style="11" customWidth="1"/>
    <col min="12307" max="12307" width="13.7109375" style="11" customWidth="1"/>
    <col min="12308" max="12544" width="9.140625" style="11"/>
    <col min="12545" max="12545" width="3.140625" style="11" customWidth="1"/>
    <col min="12546" max="12546" width="11.85546875" style="11" customWidth="1"/>
    <col min="12547" max="12547" width="3" style="11" customWidth="1"/>
    <col min="12548" max="12548" width="5.42578125" style="11" customWidth="1"/>
    <col min="12549" max="12549" width="9.7109375" style="11" customWidth="1"/>
    <col min="12550" max="12550" width="8.28515625" style="11" customWidth="1"/>
    <col min="12551" max="12551" width="13.5703125" style="11" bestFit="1" customWidth="1"/>
    <col min="12552" max="12552" width="11" style="11" customWidth="1"/>
    <col min="12553" max="12553" width="10.85546875" style="11" customWidth="1"/>
    <col min="12554" max="12554" width="9.140625" style="11"/>
    <col min="12555" max="12555" width="14.7109375" style="11" customWidth="1"/>
    <col min="12556" max="12556" width="12" style="11" bestFit="1" customWidth="1"/>
    <col min="12557" max="12558" width="12" style="11" customWidth="1"/>
    <col min="12559" max="12559" width="3.85546875" style="11" bestFit="1" customWidth="1"/>
    <col min="12560" max="12560" width="11.42578125" style="11" customWidth="1"/>
    <col min="12561" max="12561" width="11.85546875" style="11" customWidth="1"/>
    <col min="12562" max="12562" width="10.5703125" style="11" customWidth="1"/>
    <col min="12563" max="12563" width="13.7109375" style="11" customWidth="1"/>
    <col min="12564" max="12800" width="9.140625" style="11"/>
    <col min="12801" max="12801" width="3.140625" style="11" customWidth="1"/>
    <col min="12802" max="12802" width="11.85546875" style="11" customWidth="1"/>
    <col min="12803" max="12803" width="3" style="11" customWidth="1"/>
    <col min="12804" max="12804" width="5.42578125" style="11" customWidth="1"/>
    <col min="12805" max="12805" width="9.7109375" style="11" customWidth="1"/>
    <col min="12806" max="12806" width="8.28515625" style="11" customWidth="1"/>
    <col min="12807" max="12807" width="13.5703125" style="11" bestFit="1" customWidth="1"/>
    <col min="12808" max="12808" width="11" style="11" customWidth="1"/>
    <col min="12809" max="12809" width="10.85546875" style="11" customWidth="1"/>
    <col min="12810" max="12810" width="9.140625" style="11"/>
    <col min="12811" max="12811" width="14.7109375" style="11" customWidth="1"/>
    <col min="12812" max="12812" width="12" style="11" bestFit="1" customWidth="1"/>
    <col min="12813" max="12814" width="12" style="11" customWidth="1"/>
    <col min="12815" max="12815" width="3.85546875" style="11" bestFit="1" customWidth="1"/>
    <col min="12816" max="12816" width="11.42578125" style="11" customWidth="1"/>
    <col min="12817" max="12817" width="11.85546875" style="11" customWidth="1"/>
    <col min="12818" max="12818" width="10.5703125" style="11" customWidth="1"/>
    <col min="12819" max="12819" width="13.7109375" style="11" customWidth="1"/>
    <col min="12820" max="13056" width="9.140625" style="11"/>
    <col min="13057" max="13057" width="3.140625" style="11" customWidth="1"/>
    <col min="13058" max="13058" width="11.85546875" style="11" customWidth="1"/>
    <col min="13059" max="13059" width="3" style="11" customWidth="1"/>
    <col min="13060" max="13060" width="5.42578125" style="11" customWidth="1"/>
    <col min="13061" max="13061" width="9.7109375" style="11" customWidth="1"/>
    <col min="13062" max="13062" width="8.28515625" style="11" customWidth="1"/>
    <col min="13063" max="13063" width="13.5703125" style="11" bestFit="1" customWidth="1"/>
    <col min="13064" max="13064" width="11" style="11" customWidth="1"/>
    <col min="13065" max="13065" width="10.85546875" style="11" customWidth="1"/>
    <col min="13066" max="13066" width="9.140625" style="11"/>
    <col min="13067" max="13067" width="14.7109375" style="11" customWidth="1"/>
    <col min="13068" max="13068" width="12" style="11" bestFit="1" customWidth="1"/>
    <col min="13069" max="13070" width="12" style="11" customWidth="1"/>
    <col min="13071" max="13071" width="3.85546875" style="11" bestFit="1" customWidth="1"/>
    <col min="13072" max="13072" width="11.42578125" style="11" customWidth="1"/>
    <col min="13073" max="13073" width="11.85546875" style="11" customWidth="1"/>
    <col min="13074" max="13074" width="10.5703125" style="11" customWidth="1"/>
    <col min="13075" max="13075" width="13.7109375" style="11" customWidth="1"/>
    <col min="13076" max="13312" width="9.140625" style="11"/>
    <col min="13313" max="13313" width="3.140625" style="11" customWidth="1"/>
    <col min="13314" max="13314" width="11.85546875" style="11" customWidth="1"/>
    <col min="13315" max="13315" width="3" style="11" customWidth="1"/>
    <col min="13316" max="13316" width="5.42578125" style="11" customWidth="1"/>
    <col min="13317" max="13317" width="9.7109375" style="11" customWidth="1"/>
    <col min="13318" max="13318" width="8.28515625" style="11" customWidth="1"/>
    <col min="13319" max="13319" width="13.5703125" style="11" bestFit="1" customWidth="1"/>
    <col min="13320" max="13320" width="11" style="11" customWidth="1"/>
    <col min="13321" max="13321" width="10.85546875" style="11" customWidth="1"/>
    <col min="13322" max="13322" width="9.140625" style="11"/>
    <col min="13323" max="13323" width="14.7109375" style="11" customWidth="1"/>
    <col min="13324" max="13324" width="12" style="11" bestFit="1" customWidth="1"/>
    <col min="13325" max="13326" width="12" style="11" customWidth="1"/>
    <col min="13327" max="13327" width="3.85546875" style="11" bestFit="1" customWidth="1"/>
    <col min="13328" max="13328" width="11.42578125" style="11" customWidth="1"/>
    <col min="13329" max="13329" width="11.85546875" style="11" customWidth="1"/>
    <col min="13330" max="13330" width="10.5703125" style="11" customWidth="1"/>
    <col min="13331" max="13331" width="13.7109375" style="11" customWidth="1"/>
    <col min="13332" max="13568" width="9.140625" style="11"/>
    <col min="13569" max="13569" width="3.140625" style="11" customWidth="1"/>
    <col min="13570" max="13570" width="11.85546875" style="11" customWidth="1"/>
    <col min="13571" max="13571" width="3" style="11" customWidth="1"/>
    <col min="13572" max="13572" width="5.42578125" style="11" customWidth="1"/>
    <col min="13573" max="13573" width="9.7109375" style="11" customWidth="1"/>
    <col min="13574" max="13574" width="8.28515625" style="11" customWidth="1"/>
    <col min="13575" max="13575" width="13.5703125" style="11" bestFit="1" customWidth="1"/>
    <col min="13576" max="13576" width="11" style="11" customWidth="1"/>
    <col min="13577" max="13577" width="10.85546875" style="11" customWidth="1"/>
    <col min="13578" max="13578" width="9.140625" style="11"/>
    <col min="13579" max="13579" width="14.7109375" style="11" customWidth="1"/>
    <col min="13580" max="13580" width="12" style="11" bestFit="1" customWidth="1"/>
    <col min="13581" max="13582" width="12" style="11" customWidth="1"/>
    <col min="13583" max="13583" width="3.85546875" style="11" bestFit="1" customWidth="1"/>
    <col min="13584" max="13584" width="11.42578125" style="11" customWidth="1"/>
    <col min="13585" max="13585" width="11.85546875" style="11" customWidth="1"/>
    <col min="13586" max="13586" width="10.5703125" style="11" customWidth="1"/>
    <col min="13587" max="13587" width="13.7109375" style="11" customWidth="1"/>
    <col min="13588" max="13824" width="9.140625" style="11"/>
    <col min="13825" max="13825" width="3.140625" style="11" customWidth="1"/>
    <col min="13826" max="13826" width="11.85546875" style="11" customWidth="1"/>
    <col min="13827" max="13827" width="3" style="11" customWidth="1"/>
    <col min="13828" max="13828" width="5.42578125" style="11" customWidth="1"/>
    <col min="13829" max="13829" width="9.7109375" style="11" customWidth="1"/>
    <col min="13830" max="13830" width="8.28515625" style="11" customWidth="1"/>
    <col min="13831" max="13831" width="13.5703125" style="11" bestFit="1" customWidth="1"/>
    <col min="13832" max="13832" width="11" style="11" customWidth="1"/>
    <col min="13833" max="13833" width="10.85546875" style="11" customWidth="1"/>
    <col min="13834" max="13834" width="9.140625" style="11"/>
    <col min="13835" max="13835" width="14.7109375" style="11" customWidth="1"/>
    <col min="13836" max="13836" width="12" style="11" bestFit="1" customWidth="1"/>
    <col min="13837" max="13838" width="12" style="11" customWidth="1"/>
    <col min="13839" max="13839" width="3.85546875" style="11" bestFit="1" customWidth="1"/>
    <col min="13840" max="13840" width="11.42578125" style="11" customWidth="1"/>
    <col min="13841" max="13841" width="11.85546875" style="11" customWidth="1"/>
    <col min="13842" max="13842" width="10.5703125" style="11" customWidth="1"/>
    <col min="13843" max="13843" width="13.7109375" style="11" customWidth="1"/>
    <col min="13844" max="14080" width="9.140625" style="11"/>
    <col min="14081" max="14081" width="3.140625" style="11" customWidth="1"/>
    <col min="14082" max="14082" width="11.85546875" style="11" customWidth="1"/>
    <col min="14083" max="14083" width="3" style="11" customWidth="1"/>
    <col min="14084" max="14084" width="5.42578125" style="11" customWidth="1"/>
    <col min="14085" max="14085" width="9.7109375" style="11" customWidth="1"/>
    <col min="14086" max="14086" width="8.28515625" style="11" customWidth="1"/>
    <col min="14087" max="14087" width="13.5703125" style="11" bestFit="1" customWidth="1"/>
    <col min="14088" max="14088" width="11" style="11" customWidth="1"/>
    <col min="14089" max="14089" width="10.85546875" style="11" customWidth="1"/>
    <col min="14090" max="14090" width="9.140625" style="11"/>
    <col min="14091" max="14091" width="14.7109375" style="11" customWidth="1"/>
    <col min="14092" max="14092" width="12" style="11" bestFit="1" customWidth="1"/>
    <col min="14093" max="14094" width="12" style="11" customWidth="1"/>
    <col min="14095" max="14095" width="3.85546875" style="11" bestFit="1" customWidth="1"/>
    <col min="14096" max="14096" width="11.42578125" style="11" customWidth="1"/>
    <col min="14097" max="14097" width="11.85546875" style="11" customWidth="1"/>
    <col min="14098" max="14098" width="10.5703125" style="11" customWidth="1"/>
    <col min="14099" max="14099" width="13.7109375" style="11" customWidth="1"/>
    <col min="14100" max="14336" width="9.140625" style="11"/>
    <col min="14337" max="14337" width="3.140625" style="11" customWidth="1"/>
    <col min="14338" max="14338" width="11.85546875" style="11" customWidth="1"/>
    <col min="14339" max="14339" width="3" style="11" customWidth="1"/>
    <col min="14340" max="14340" width="5.42578125" style="11" customWidth="1"/>
    <col min="14341" max="14341" width="9.7109375" style="11" customWidth="1"/>
    <col min="14342" max="14342" width="8.28515625" style="11" customWidth="1"/>
    <col min="14343" max="14343" width="13.5703125" style="11" bestFit="1" customWidth="1"/>
    <col min="14344" max="14344" width="11" style="11" customWidth="1"/>
    <col min="14345" max="14345" width="10.85546875" style="11" customWidth="1"/>
    <col min="14346" max="14346" width="9.140625" style="11"/>
    <col min="14347" max="14347" width="14.7109375" style="11" customWidth="1"/>
    <col min="14348" max="14348" width="12" style="11" bestFit="1" customWidth="1"/>
    <col min="14349" max="14350" width="12" style="11" customWidth="1"/>
    <col min="14351" max="14351" width="3.85546875" style="11" bestFit="1" customWidth="1"/>
    <col min="14352" max="14352" width="11.42578125" style="11" customWidth="1"/>
    <col min="14353" max="14353" width="11.85546875" style="11" customWidth="1"/>
    <col min="14354" max="14354" width="10.5703125" style="11" customWidth="1"/>
    <col min="14355" max="14355" width="13.7109375" style="11" customWidth="1"/>
    <col min="14356" max="14592" width="9.140625" style="11"/>
    <col min="14593" max="14593" width="3.140625" style="11" customWidth="1"/>
    <col min="14594" max="14594" width="11.85546875" style="11" customWidth="1"/>
    <col min="14595" max="14595" width="3" style="11" customWidth="1"/>
    <col min="14596" max="14596" width="5.42578125" style="11" customWidth="1"/>
    <col min="14597" max="14597" width="9.7109375" style="11" customWidth="1"/>
    <col min="14598" max="14598" width="8.28515625" style="11" customWidth="1"/>
    <col min="14599" max="14599" width="13.5703125" style="11" bestFit="1" customWidth="1"/>
    <col min="14600" max="14600" width="11" style="11" customWidth="1"/>
    <col min="14601" max="14601" width="10.85546875" style="11" customWidth="1"/>
    <col min="14602" max="14602" width="9.140625" style="11"/>
    <col min="14603" max="14603" width="14.7109375" style="11" customWidth="1"/>
    <col min="14604" max="14604" width="12" style="11" bestFit="1" customWidth="1"/>
    <col min="14605" max="14606" width="12" style="11" customWidth="1"/>
    <col min="14607" max="14607" width="3.85546875" style="11" bestFit="1" customWidth="1"/>
    <col min="14608" max="14608" width="11.42578125" style="11" customWidth="1"/>
    <col min="14609" max="14609" width="11.85546875" style="11" customWidth="1"/>
    <col min="14610" max="14610" width="10.5703125" style="11" customWidth="1"/>
    <col min="14611" max="14611" width="13.7109375" style="11" customWidth="1"/>
    <col min="14612" max="14848" width="9.140625" style="11"/>
    <col min="14849" max="14849" width="3.140625" style="11" customWidth="1"/>
    <col min="14850" max="14850" width="11.85546875" style="11" customWidth="1"/>
    <col min="14851" max="14851" width="3" style="11" customWidth="1"/>
    <col min="14852" max="14852" width="5.42578125" style="11" customWidth="1"/>
    <col min="14853" max="14853" width="9.7109375" style="11" customWidth="1"/>
    <col min="14854" max="14854" width="8.28515625" style="11" customWidth="1"/>
    <col min="14855" max="14855" width="13.5703125" style="11" bestFit="1" customWidth="1"/>
    <col min="14856" max="14856" width="11" style="11" customWidth="1"/>
    <col min="14857" max="14857" width="10.85546875" style="11" customWidth="1"/>
    <col min="14858" max="14858" width="9.140625" style="11"/>
    <col min="14859" max="14859" width="14.7109375" style="11" customWidth="1"/>
    <col min="14860" max="14860" width="12" style="11" bestFit="1" customWidth="1"/>
    <col min="14861" max="14862" width="12" style="11" customWidth="1"/>
    <col min="14863" max="14863" width="3.85546875" style="11" bestFit="1" customWidth="1"/>
    <col min="14864" max="14864" width="11.42578125" style="11" customWidth="1"/>
    <col min="14865" max="14865" width="11.85546875" style="11" customWidth="1"/>
    <col min="14866" max="14866" width="10.5703125" style="11" customWidth="1"/>
    <col min="14867" max="14867" width="13.7109375" style="11" customWidth="1"/>
    <col min="14868" max="15104" width="9.140625" style="11"/>
    <col min="15105" max="15105" width="3.140625" style="11" customWidth="1"/>
    <col min="15106" max="15106" width="11.85546875" style="11" customWidth="1"/>
    <col min="15107" max="15107" width="3" style="11" customWidth="1"/>
    <col min="15108" max="15108" width="5.42578125" style="11" customWidth="1"/>
    <col min="15109" max="15109" width="9.7109375" style="11" customWidth="1"/>
    <col min="15110" max="15110" width="8.28515625" style="11" customWidth="1"/>
    <col min="15111" max="15111" width="13.5703125" style="11" bestFit="1" customWidth="1"/>
    <col min="15112" max="15112" width="11" style="11" customWidth="1"/>
    <col min="15113" max="15113" width="10.85546875" style="11" customWidth="1"/>
    <col min="15114" max="15114" width="9.140625" style="11"/>
    <col min="15115" max="15115" width="14.7109375" style="11" customWidth="1"/>
    <col min="15116" max="15116" width="12" style="11" bestFit="1" customWidth="1"/>
    <col min="15117" max="15118" width="12" style="11" customWidth="1"/>
    <col min="15119" max="15119" width="3.85546875" style="11" bestFit="1" customWidth="1"/>
    <col min="15120" max="15120" width="11.42578125" style="11" customWidth="1"/>
    <col min="15121" max="15121" width="11.85546875" style="11" customWidth="1"/>
    <col min="15122" max="15122" width="10.5703125" style="11" customWidth="1"/>
    <col min="15123" max="15123" width="13.7109375" style="11" customWidth="1"/>
    <col min="15124" max="15360" width="9.140625" style="11"/>
    <col min="15361" max="15361" width="3.140625" style="11" customWidth="1"/>
    <col min="15362" max="15362" width="11.85546875" style="11" customWidth="1"/>
    <col min="15363" max="15363" width="3" style="11" customWidth="1"/>
    <col min="15364" max="15364" width="5.42578125" style="11" customWidth="1"/>
    <col min="15365" max="15365" width="9.7109375" style="11" customWidth="1"/>
    <col min="15366" max="15366" width="8.28515625" style="11" customWidth="1"/>
    <col min="15367" max="15367" width="13.5703125" style="11" bestFit="1" customWidth="1"/>
    <col min="15368" max="15368" width="11" style="11" customWidth="1"/>
    <col min="15369" max="15369" width="10.85546875" style="11" customWidth="1"/>
    <col min="15370" max="15370" width="9.140625" style="11"/>
    <col min="15371" max="15371" width="14.7109375" style="11" customWidth="1"/>
    <col min="15372" max="15372" width="12" style="11" bestFit="1" customWidth="1"/>
    <col min="15373" max="15374" width="12" style="11" customWidth="1"/>
    <col min="15375" max="15375" width="3.85546875" style="11" bestFit="1" customWidth="1"/>
    <col min="15376" max="15376" width="11.42578125" style="11" customWidth="1"/>
    <col min="15377" max="15377" width="11.85546875" style="11" customWidth="1"/>
    <col min="15378" max="15378" width="10.5703125" style="11" customWidth="1"/>
    <col min="15379" max="15379" width="13.7109375" style="11" customWidth="1"/>
    <col min="15380" max="15616" width="9.140625" style="11"/>
    <col min="15617" max="15617" width="3.140625" style="11" customWidth="1"/>
    <col min="15618" max="15618" width="11.85546875" style="11" customWidth="1"/>
    <col min="15619" max="15619" width="3" style="11" customWidth="1"/>
    <col min="15620" max="15620" width="5.42578125" style="11" customWidth="1"/>
    <col min="15621" max="15621" width="9.7109375" style="11" customWidth="1"/>
    <col min="15622" max="15622" width="8.28515625" style="11" customWidth="1"/>
    <col min="15623" max="15623" width="13.5703125" style="11" bestFit="1" customWidth="1"/>
    <col min="15624" max="15624" width="11" style="11" customWidth="1"/>
    <col min="15625" max="15625" width="10.85546875" style="11" customWidth="1"/>
    <col min="15626" max="15626" width="9.140625" style="11"/>
    <col min="15627" max="15627" width="14.7109375" style="11" customWidth="1"/>
    <col min="15628" max="15628" width="12" style="11" bestFit="1" customWidth="1"/>
    <col min="15629" max="15630" width="12" style="11" customWidth="1"/>
    <col min="15631" max="15631" width="3.85546875" style="11" bestFit="1" customWidth="1"/>
    <col min="15632" max="15632" width="11.42578125" style="11" customWidth="1"/>
    <col min="15633" max="15633" width="11.85546875" style="11" customWidth="1"/>
    <col min="15634" max="15634" width="10.5703125" style="11" customWidth="1"/>
    <col min="15635" max="15635" width="13.7109375" style="11" customWidth="1"/>
    <col min="15636" max="15872" width="9.140625" style="11"/>
    <col min="15873" max="15873" width="3.140625" style="11" customWidth="1"/>
    <col min="15874" max="15874" width="11.85546875" style="11" customWidth="1"/>
    <col min="15875" max="15875" width="3" style="11" customWidth="1"/>
    <col min="15876" max="15876" width="5.42578125" style="11" customWidth="1"/>
    <col min="15877" max="15877" width="9.7109375" style="11" customWidth="1"/>
    <col min="15878" max="15878" width="8.28515625" style="11" customWidth="1"/>
    <col min="15879" max="15879" width="13.5703125" style="11" bestFit="1" customWidth="1"/>
    <col min="15880" max="15880" width="11" style="11" customWidth="1"/>
    <col min="15881" max="15881" width="10.85546875" style="11" customWidth="1"/>
    <col min="15882" max="15882" width="9.140625" style="11"/>
    <col min="15883" max="15883" width="14.7109375" style="11" customWidth="1"/>
    <col min="15884" max="15884" width="12" style="11" bestFit="1" customWidth="1"/>
    <col min="15885" max="15886" width="12" style="11" customWidth="1"/>
    <col min="15887" max="15887" width="3.85546875" style="11" bestFit="1" customWidth="1"/>
    <col min="15888" max="15888" width="11.42578125" style="11" customWidth="1"/>
    <col min="15889" max="15889" width="11.85546875" style="11" customWidth="1"/>
    <col min="15890" max="15890" width="10.5703125" style="11" customWidth="1"/>
    <col min="15891" max="15891" width="13.7109375" style="11" customWidth="1"/>
    <col min="15892" max="16128" width="9.140625" style="11"/>
    <col min="16129" max="16129" width="3.140625" style="11" customWidth="1"/>
    <col min="16130" max="16130" width="11.85546875" style="11" customWidth="1"/>
    <col min="16131" max="16131" width="3" style="11" customWidth="1"/>
    <col min="16132" max="16132" width="5.42578125" style="11" customWidth="1"/>
    <col min="16133" max="16133" width="9.7109375" style="11" customWidth="1"/>
    <col min="16134" max="16134" width="8.28515625" style="11" customWidth="1"/>
    <col min="16135" max="16135" width="13.5703125" style="11" bestFit="1" customWidth="1"/>
    <col min="16136" max="16136" width="11" style="11" customWidth="1"/>
    <col min="16137" max="16137" width="10.85546875" style="11" customWidth="1"/>
    <col min="16138" max="16138" width="9.140625" style="11"/>
    <col min="16139" max="16139" width="14.7109375" style="11" customWidth="1"/>
    <col min="16140" max="16140" width="12" style="11" bestFit="1" customWidth="1"/>
    <col min="16141" max="16142" width="12" style="11" customWidth="1"/>
    <col min="16143" max="16143" width="3.85546875" style="11" bestFit="1" customWidth="1"/>
    <col min="16144" max="16144" width="11.42578125" style="11" customWidth="1"/>
    <col min="16145" max="16145" width="11.85546875" style="11" customWidth="1"/>
    <col min="16146" max="16146" width="10.5703125" style="11" customWidth="1"/>
    <col min="16147" max="16147" width="13.7109375" style="11" customWidth="1"/>
    <col min="16148" max="16384" width="9.140625" style="11"/>
  </cols>
  <sheetData>
    <row r="1" spans="1:19" x14ac:dyDescent="0.2">
      <c r="A1" s="62"/>
      <c r="B1" s="62"/>
      <c r="C1" s="62"/>
      <c r="D1" s="62"/>
      <c r="E1" s="62"/>
      <c r="F1" s="62"/>
      <c r="G1" s="62"/>
      <c r="H1" s="63" t="s">
        <v>172</v>
      </c>
      <c r="I1" s="64"/>
      <c r="J1" s="62"/>
      <c r="K1" s="62"/>
      <c r="L1" s="62"/>
      <c r="M1" s="64"/>
      <c r="N1" s="65"/>
      <c r="O1" s="66"/>
      <c r="P1" s="66"/>
      <c r="Q1" s="67"/>
      <c r="R1" s="67"/>
      <c r="S1" s="67"/>
    </row>
    <row r="2" spans="1:19" ht="12" thickBot="1" x14ac:dyDescent="0.25">
      <c r="A2" s="68" t="s">
        <v>132</v>
      </c>
      <c r="B2" s="69"/>
      <c r="C2" s="427">
        <f>'Page 1'!A8</f>
        <v>0</v>
      </c>
      <c r="D2" s="427"/>
      <c r="E2" s="427"/>
      <c r="F2" s="428"/>
      <c r="G2" s="62"/>
      <c r="H2" s="62"/>
      <c r="I2" s="70"/>
      <c r="J2" s="62"/>
      <c r="K2" s="62"/>
      <c r="L2" s="62"/>
      <c r="M2" s="70"/>
      <c r="N2" s="65"/>
      <c r="O2" s="66"/>
      <c r="P2" s="66"/>
      <c r="Q2" s="67"/>
      <c r="R2" s="67"/>
      <c r="S2" s="67"/>
    </row>
    <row r="3" spans="1:19" x14ac:dyDescent="0.2">
      <c r="A3" s="71" t="s">
        <v>133</v>
      </c>
      <c r="B3" s="72"/>
      <c r="C3" s="72"/>
      <c r="D3" s="72"/>
      <c r="E3" s="72"/>
      <c r="F3" s="72"/>
      <c r="G3" s="72"/>
      <c r="H3" s="72"/>
      <c r="I3" s="73"/>
      <c r="J3" s="72"/>
      <c r="K3" s="72"/>
      <c r="L3" s="72"/>
      <c r="M3" s="73"/>
      <c r="N3" s="417"/>
      <c r="O3" s="417"/>
      <c r="P3" s="417"/>
      <c r="Q3" s="417"/>
      <c r="R3" s="418"/>
      <c r="S3" s="419" t="s">
        <v>173</v>
      </c>
    </row>
    <row r="4" spans="1:19" x14ac:dyDescent="0.2">
      <c r="A4" s="74" t="s">
        <v>174</v>
      </c>
      <c r="B4" s="75"/>
      <c r="C4" s="75"/>
      <c r="D4" s="75"/>
      <c r="E4" s="75"/>
      <c r="F4" s="75"/>
      <c r="G4" s="75"/>
      <c r="H4" s="75"/>
      <c r="I4" s="76"/>
      <c r="J4" s="75"/>
      <c r="K4" s="75"/>
      <c r="L4" s="75"/>
      <c r="M4" s="76"/>
      <c r="N4" s="76"/>
      <c r="O4" s="77"/>
      <c r="P4" s="77"/>
      <c r="Q4" s="75"/>
      <c r="R4" s="78"/>
      <c r="S4" s="420"/>
    </row>
    <row r="5" spans="1:19" x14ac:dyDescent="0.2">
      <c r="A5" s="414" t="s">
        <v>94</v>
      </c>
      <c r="B5" s="415"/>
      <c r="C5" s="415"/>
      <c r="D5" s="416"/>
      <c r="E5" s="79" t="s">
        <v>134</v>
      </c>
      <c r="F5" s="79" t="s">
        <v>135</v>
      </c>
      <c r="G5" s="79" t="s">
        <v>136</v>
      </c>
      <c r="H5" s="79" t="s">
        <v>137</v>
      </c>
      <c r="I5" s="80" t="s">
        <v>138</v>
      </c>
      <c r="J5" s="79" t="s">
        <v>129</v>
      </c>
      <c r="K5" s="79" t="s">
        <v>139</v>
      </c>
      <c r="L5" s="79" t="s">
        <v>140</v>
      </c>
      <c r="M5" s="80" t="s">
        <v>179</v>
      </c>
      <c r="N5" s="80" t="s">
        <v>138</v>
      </c>
      <c r="O5" s="422" t="s">
        <v>175</v>
      </c>
      <c r="P5" s="423"/>
      <c r="Q5" s="79" t="s">
        <v>179</v>
      </c>
      <c r="R5" s="81" t="s">
        <v>204</v>
      </c>
      <c r="S5" s="420"/>
    </row>
    <row r="6" spans="1:19" ht="12" thickBot="1" x14ac:dyDescent="0.25">
      <c r="A6" s="429" t="s">
        <v>141</v>
      </c>
      <c r="B6" s="430"/>
      <c r="C6" s="430"/>
      <c r="D6" s="431"/>
      <c r="E6" s="82" t="s">
        <v>142</v>
      </c>
      <c r="F6" s="82" t="s">
        <v>143</v>
      </c>
      <c r="G6" s="82" t="s">
        <v>74</v>
      </c>
      <c r="H6" s="82" t="s">
        <v>144</v>
      </c>
      <c r="I6" s="83" t="s">
        <v>145</v>
      </c>
      <c r="J6" s="82" t="s">
        <v>146</v>
      </c>
      <c r="K6" s="82" t="s">
        <v>147</v>
      </c>
      <c r="L6" s="82" t="s">
        <v>148</v>
      </c>
      <c r="M6" s="83" t="s">
        <v>149</v>
      </c>
      <c r="N6" s="83" t="s">
        <v>203</v>
      </c>
      <c r="O6" s="424" t="s">
        <v>176</v>
      </c>
      <c r="P6" s="425"/>
      <c r="Q6" s="82" t="s">
        <v>176</v>
      </c>
      <c r="R6" s="84" t="s">
        <v>180</v>
      </c>
      <c r="S6" s="421"/>
    </row>
    <row r="7" spans="1:19" x14ac:dyDescent="0.2">
      <c r="A7" s="395"/>
      <c r="B7" s="396"/>
      <c r="C7" s="396"/>
      <c r="D7" s="397"/>
      <c r="E7" s="398"/>
      <c r="F7" s="401">
        <v>1</v>
      </c>
      <c r="G7" s="85" t="s">
        <v>150</v>
      </c>
      <c r="H7" s="404"/>
      <c r="I7" s="86" t="s">
        <v>151</v>
      </c>
      <c r="J7" s="426"/>
      <c r="K7" s="407"/>
      <c r="L7" s="407"/>
      <c r="M7" s="408"/>
      <c r="N7" s="408">
        <v>0</v>
      </c>
      <c r="O7" s="376" t="s">
        <v>177</v>
      </c>
      <c r="P7" s="378"/>
      <c r="Q7" s="380">
        <f>SUM(P7:P10)/12</f>
        <v>0</v>
      </c>
      <c r="R7" s="380">
        <f>SUM(M7)-N7-N9-Q7</f>
        <v>0</v>
      </c>
      <c r="S7" s="383"/>
    </row>
    <row r="8" spans="1:19" x14ac:dyDescent="0.2">
      <c r="A8" s="386"/>
      <c r="B8" s="387"/>
      <c r="C8" s="387"/>
      <c r="D8" s="388"/>
      <c r="E8" s="399"/>
      <c r="F8" s="402"/>
      <c r="G8" s="153"/>
      <c r="H8" s="405"/>
      <c r="I8" s="156">
        <v>0</v>
      </c>
      <c r="J8" s="389"/>
      <c r="K8" s="389"/>
      <c r="L8" s="389"/>
      <c r="M8" s="409"/>
      <c r="N8" s="409"/>
      <c r="O8" s="377"/>
      <c r="P8" s="379"/>
      <c r="Q8" s="381"/>
      <c r="R8" s="381"/>
      <c r="S8" s="384"/>
    </row>
    <row r="9" spans="1:19" x14ac:dyDescent="0.2">
      <c r="A9" s="87"/>
      <c r="B9" s="7" t="s">
        <v>201</v>
      </c>
      <c r="C9" s="149"/>
      <c r="D9" s="7" t="s">
        <v>152</v>
      </c>
      <c r="E9" s="399"/>
      <c r="F9" s="402"/>
      <c r="G9" s="88" t="s">
        <v>153</v>
      </c>
      <c r="H9" s="405"/>
      <c r="I9" s="89" t="s">
        <v>154</v>
      </c>
      <c r="J9" s="389"/>
      <c r="K9" s="389"/>
      <c r="L9" s="389"/>
      <c r="M9" s="409"/>
      <c r="N9" s="391"/>
      <c r="O9" s="377" t="s">
        <v>178</v>
      </c>
      <c r="P9" s="379"/>
      <c r="Q9" s="381"/>
      <c r="R9" s="381"/>
      <c r="S9" s="384"/>
    </row>
    <row r="10" spans="1:19" ht="12" thickBot="1" x14ac:dyDescent="0.25">
      <c r="A10" s="90"/>
      <c r="B10" s="8" t="s">
        <v>202</v>
      </c>
      <c r="C10" s="150"/>
      <c r="D10" s="8" t="s">
        <v>155</v>
      </c>
      <c r="E10" s="400"/>
      <c r="F10" s="403"/>
      <c r="G10" s="154"/>
      <c r="H10" s="406"/>
      <c r="I10" s="157">
        <v>0</v>
      </c>
      <c r="J10" s="390"/>
      <c r="K10" s="390"/>
      <c r="L10" s="390"/>
      <c r="M10" s="410"/>
      <c r="N10" s="392"/>
      <c r="O10" s="393"/>
      <c r="P10" s="394"/>
      <c r="Q10" s="382"/>
      <c r="R10" s="382"/>
      <c r="S10" s="385"/>
    </row>
    <row r="11" spans="1:19" x14ac:dyDescent="0.2">
      <c r="A11" s="395"/>
      <c r="B11" s="396"/>
      <c r="C11" s="396"/>
      <c r="D11" s="397"/>
      <c r="E11" s="398"/>
      <c r="F11" s="401">
        <v>1</v>
      </c>
      <c r="G11" s="85" t="s">
        <v>150</v>
      </c>
      <c r="H11" s="404"/>
      <c r="I11" s="86" t="s">
        <v>151</v>
      </c>
      <c r="J11" s="426"/>
      <c r="K11" s="407"/>
      <c r="L11" s="407"/>
      <c r="M11" s="408"/>
      <c r="N11" s="408">
        <v>0</v>
      </c>
      <c r="O11" s="376" t="s">
        <v>177</v>
      </c>
      <c r="P11" s="378"/>
      <c r="Q11" s="380">
        <f>SUM(P11:P14)/12</f>
        <v>0</v>
      </c>
      <c r="R11" s="380">
        <f>SUM(M11)-N11-N13-Q11</f>
        <v>0</v>
      </c>
      <c r="S11" s="383"/>
    </row>
    <row r="12" spans="1:19" x14ac:dyDescent="0.2">
      <c r="A12" s="386"/>
      <c r="B12" s="387"/>
      <c r="C12" s="387"/>
      <c r="D12" s="388"/>
      <c r="E12" s="399"/>
      <c r="F12" s="402"/>
      <c r="G12" s="155"/>
      <c r="H12" s="405"/>
      <c r="I12" s="156">
        <v>0</v>
      </c>
      <c r="J12" s="389"/>
      <c r="K12" s="389"/>
      <c r="L12" s="389"/>
      <c r="M12" s="409"/>
      <c r="N12" s="409"/>
      <c r="O12" s="377"/>
      <c r="P12" s="379"/>
      <c r="Q12" s="381"/>
      <c r="R12" s="381"/>
      <c r="S12" s="384"/>
    </row>
    <row r="13" spans="1:19" x14ac:dyDescent="0.2">
      <c r="A13" s="151"/>
      <c r="B13" s="7" t="s">
        <v>201</v>
      </c>
      <c r="C13" s="149"/>
      <c r="D13" s="7" t="s">
        <v>152</v>
      </c>
      <c r="E13" s="399"/>
      <c r="F13" s="402"/>
      <c r="G13" s="88" t="s">
        <v>153</v>
      </c>
      <c r="H13" s="405"/>
      <c r="I13" s="89" t="s">
        <v>154</v>
      </c>
      <c r="J13" s="389"/>
      <c r="K13" s="389"/>
      <c r="L13" s="389"/>
      <c r="M13" s="409"/>
      <c r="N13" s="391"/>
      <c r="O13" s="377" t="s">
        <v>178</v>
      </c>
      <c r="P13" s="379"/>
      <c r="Q13" s="381"/>
      <c r="R13" s="381"/>
      <c r="S13" s="384"/>
    </row>
    <row r="14" spans="1:19" ht="12" thickBot="1" x14ac:dyDescent="0.25">
      <c r="A14" s="152"/>
      <c r="B14" s="8" t="s">
        <v>202</v>
      </c>
      <c r="C14" s="150"/>
      <c r="D14" s="8" t="s">
        <v>155</v>
      </c>
      <c r="E14" s="400"/>
      <c r="F14" s="403"/>
      <c r="G14" s="154"/>
      <c r="H14" s="406"/>
      <c r="I14" s="157">
        <v>0</v>
      </c>
      <c r="J14" s="390"/>
      <c r="K14" s="390"/>
      <c r="L14" s="390"/>
      <c r="M14" s="410"/>
      <c r="N14" s="392"/>
      <c r="O14" s="393"/>
      <c r="P14" s="394"/>
      <c r="Q14" s="382"/>
      <c r="R14" s="382"/>
      <c r="S14" s="385"/>
    </row>
    <row r="15" spans="1:19" x14ac:dyDescent="0.2">
      <c r="A15" s="395"/>
      <c r="B15" s="396"/>
      <c r="C15" s="396"/>
      <c r="D15" s="397"/>
      <c r="E15" s="398"/>
      <c r="F15" s="401">
        <v>1</v>
      </c>
      <c r="G15" s="85" t="s">
        <v>150</v>
      </c>
      <c r="H15" s="404"/>
      <c r="I15" s="86" t="s">
        <v>151</v>
      </c>
      <c r="J15" s="407"/>
      <c r="K15" s="407"/>
      <c r="L15" s="407"/>
      <c r="M15" s="408">
        <v>1000</v>
      </c>
      <c r="N15" s="408">
        <v>0</v>
      </c>
      <c r="O15" s="376" t="s">
        <v>177</v>
      </c>
      <c r="P15" s="378">
        <v>6000</v>
      </c>
      <c r="Q15" s="380">
        <f>SUM(P15:P18)/12</f>
        <v>583.33333333333337</v>
      </c>
      <c r="R15" s="380">
        <f>SUM(M15)-N15-N17-Q15</f>
        <v>416.66666666666663</v>
      </c>
      <c r="S15" s="383"/>
    </row>
    <row r="16" spans="1:19" x14ac:dyDescent="0.2">
      <c r="A16" s="386"/>
      <c r="B16" s="387"/>
      <c r="C16" s="387"/>
      <c r="D16" s="388"/>
      <c r="E16" s="399"/>
      <c r="F16" s="402"/>
      <c r="G16" s="155"/>
      <c r="H16" s="405"/>
      <c r="I16" s="156">
        <v>0</v>
      </c>
      <c r="J16" s="389"/>
      <c r="K16" s="389"/>
      <c r="L16" s="389"/>
      <c r="M16" s="409"/>
      <c r="N16" s="409"/>
      <c r="O16" s="377"/>
      <c r="P16" s="379"/>
      <c r="Q16" s="381"/>
      <c r="R16" s="381"/>
      <c r="S16" s="384"/>
    </row>
    <row r="17" spans="1:19" x14ac:dyDescent="0.2">
      <c r="A17" s="151"/>
      <c r="B17" s="7" t="s">
        <v>201</v>
      </c>
      <c r="C17" s="149"/>
      <c r="D17" s="7" t="s">
        <v>152</v>
      </c>
      <c r="E17" s="399"/>
      <c r="F17" s="402"/>
      <c r="G17" s="88" t="s">
        <v>153</v>
      </c>
      <c r="H17" s="405"/>
      <c r="I17" s="89" t="s">
        <v>154</v>
      </c>
      <c r="J17" s="389"/>
      <c r="K17" s="389"/>
      <c r="L17" s="389"/>
      <c r="M17" s="409"/>
      <c r="N17" s="391"/>
      <c r="O17" s="377" t="s">
        <v>178</v>
      </c>
      <c r="P17" s="379">
        <v>1000</v>
      </c>
      <c r="Q17" s="381"/>
      <c r="R17" s="381"/>
      <c r="S17" s="384"/>
    </row>
    <row r="18" spans="1:19" ht="12" thickBot="1" x14ac:dyDescent="0.25">
      <c r="A18" s="152"/>
      <c r="B18" s="8" t="s">
        <v>202</v>
      </c>
      <c r="C18" s="150"/>
      <c r="D18" s="8" t="s">
        <v>155</v>
      </c>
      <c r="E18" s="400"/>
      <c r="F18" s="403"/>
      <c r="G18" s="154"/>
      <c r="H18" s="406"/>
      <c r="I18" s="157">
        <v>0</v>
      </c>
      <c r="J18" s="390"/>
      <c r="K18" s="390"/>
      <c r="L18" s="390"/>
      <c r="M18" s="410"/>
      <c r="N18" s="392"/>
      <c r="O18" s="393"/>
      <c r="P18" s="394"/>
      <c r="Q18" s="382"/>
      <c r="R18" s="382"/>
      <c r="S18" s="385"/>
    </row>
    <row r="19" spans="1:19" x14ac:dyDescent="0.2">
      <c r="A19" s="395"/>
      <c r="B19" s="396"/>
      <c r="C19" s="396"/>
      <c r="D19" s="397"/>
      <c r="E19" s="398"/>
      <c r="F19" s="401">
        <v>1</v>
      </c>
      <c r="G19" s="85" t="s">
        <v>150</v>
      </c>
      <c r="H19" s="404"/>
      <c r="I19" s="86" t="s">
        <v>151</v>
      </c>
      <c r="J19" s="407"/>
      <c r="K19" s="407"/>
      <c r="L19" s="407"/>
      <c r="M19" s="408"/>
      <c r="N19" s="408">
        <v>0</v>
      </c>
      <c r="O19" s="376" t="s">
        <v>177</v>
      </c>
      <c r="P19" s="378"/>
      <c r="Q19" s="380">
        <f>SUM(P19:P22)/12</f>
        <v>0</v>
      </c>
      <c r="R19" s="380">
        <f>SUM(M19)-N19-N21-Q19</f>
        <v>0</v>
      </c>
      <c r="S19" s="383"/>
    </row>
    <row r="20" spans="1:19" x14ac:dyDescent="0.2">
      <c r="A20" s="386"/>
      <c r="B20" s="387"/>
      <c r="C20" s="387"/>
      <c r="D20" s="388"/>
      <c r="E20" s="399"/>
      <c r="F20" s="402"/>
      <c r="G20" s="155"/>
      <c r="H20" s="405"/>
      <c r="I20" s="156">
        <v>0</v>
      </c>
      <c r="J20" s="389"/>
      <c r="K20" s="389"/>
      <c r="L20" s="389"/>
      <c r="M20" s="409"/>
      <c r="N20" s="409"/>
      <c r="O20" s="377"/>
      <c r="P20" s="379"/>
      <c r="Q20" s="381"/>
      <c r="R20" s="381"/>
      <c r="S20" s="384"/>
    </row>
    <row r="21" spans="1:19" x14ac:dyDescent="0.2">
      <c r="A21" s="151"/>
      <c r="B21" s="7" t="s">
        <v>201</v>
      </c>
      <c r="C21" s="149"/>
      <c r="D21" s="7" t="s">
        <v>152</v>
      </c>
      <c r="E21" s="399"/>
      <c r="F21" s="402"/>
      <c r="G21" s="88" t="s">
        <v>153</v>
      </c>
      <c r="H21" s="405"/>
      <c r="I21" s="89" t="s">
        <v>154</v>
      </c>
      <c r="J21" s="389"/>
      <c r="K21" s="389"/>
      <c r="L21" s="389"/>
      <c r="M21" s="409"/>
      <c r="N21" s="391"/>
      <c r="O21" s="377" t="s">
        <v>178</v>
      </c>
      <c r="P21" s="379"/>
      <c r="Q21" s="381"/>
      <c r="R21" s="381"/>
      <c r="S21" s="384"/>
    </row>
    <row r="22" spans="1:19" ht="12" thickBot="1" x14ac:dyDescent="0.25">
      <c r="A22" s="152"/>
      <c r="B22" s="8" t="s">
        <v>202</v>
      </c>
      <c r="C22" s="150"/>
      <c r="D22" s="8" t="s">
        <v>155</v>
      </c>
      <c r="E22" s="400"/>
      <c r="F22" s="403"/>
      <c r="G22" s="154"/>
      <c r="H22" s="406"/>
      <c r="I22" s="157">
        <v>0</v>
      </c>
      <c r="J22" s="390"/>
      <c r="K22" s="390"/>
      <c r="L22" s="390"/>
      <c r="M22" s="410"/>
      <c r="N22" s="392"/>
      <c r="O22" s="393"/>
      <c r="P22" s="394"/>
      <c r="Q22" s="382"/>
      <c r="R22" s="382"/>
      <c r="S22" s="385"/>
    </row>
    <row r="23" spans="1:19" x14ac:dyDescent="0.2">
      <c r="A23" s="395"/>
      <c r="B23" s="396"/>
      <c r="C23" s="396"/>
      <c r="D23" s="397"/>
      <c r="E23" s="398"/>
      <c r="F23" s="401">
        <v>1</v>
      </c>
      <c r="G23" s="85" t="s">
        <v>150</v>
      </c>
      <c r="H23" s="404"/>
      <c r="I23" s="86" t="s">
        <v>151</v>
      </c>
      <c r="J23" s="407"/>
      <c r="K23" s="407"/>
      <c r="L23" s="407"/>
      <c r="M23" s="408"/>
      <c r="N23" s="408">
        <v>0</v>
      </c>
      <c r="O23" s="376" t="s">
        <v>177</v>
      </c>
      <c r="P23" s="378"/>
      <c r="Q23" s="380">
        <f>SUM(P23:P26)/12</f>
        <v>0</v>
      </c>
      <c r="R23" s="380">
        <f>SUM(M23)-N23-N25-Q23</f>
        <v>0</v>
      </c>
      <c r="S23" s="383"/>
    </row>
    <row r="24" spans="1:19" x14ac:dyDescent="0.2">
      <c r="A24" s="386"/>
      <c r="B24" s="387"/>
      <c r="C24" s="387"/>
      <c r="D24" s="388"/>
      <c r="E24" s="399"/>
      <c r="F24" s="402"/>
      <c r="G24" s="155"/>
      <c r="H24" s="405"/>
      <c r="I24" s="156">
        <v>0</v>
      </c>
      <c r="J24" s="389"/>
      <c r="K24" s="389"/>
      <c r="L24" s="389"/>
      <c r="M24" s="409"/>
      <c r="N24" s="409"/>
      <c r="O24" s="377"/>
      <c r="P24" s="379"/>
      <c r="Q24" s="381"/>
      <c r="R24" s="381"/>
      <c r="S24" s="384"/>
    </row>
    <row r="25" spans="1:19" x14ac:dyDescent="0.2">
      <c r="A25" s="151"/>
      <c r="B25" s="7" t="s">
        <v>201</v>
      </c>
      <c r="C25" s="149"/>
      <c r="D25" s="7" t="s">
        <v>152</v>
      </c>
      <c r="E25" s="399"/>
      <c r="F25" s="402"/>
      <c r="G25" s="88" t="s">
        <v>153</v>
      </c>
      <c r="H25" s="405"/>
      <c r="I25" s="89" t="s">
        <v>154</v>
      </c>
      <c r="J25" s="389"/>
      <c r="K25" s="389"/>
      <c r="L25" s="389"/>
      <c r="M25" s="409"/>
      <c r="N25" s="391"/>
      <c r="O25" s="377" t="s">
        <v>178</v>
      </c>
      <c r="P25" s="379"/>
      <c r="Q25" s="381"/>
      <c r="R25" s="381"/>
      <c r="S25" s="384"/>
    </row>
    <row r="26" spans="1:19" ht="12" thickBot="1" x14ac:dyDescent="0.25">
      <c r="A26" s="152"/>
      <c r="B26" s="8" t="s">
        <v>202</v>
      </c>
      <c r="C26" s="150"/>
      <c r="D26" s="8" t="s">
        <v>155</v>
      </c>
      <c r="E26" s="400"/>
      <c r="F26" s="403"/>
      <c r="G26" s="154"/>
      <c r="H26" s="406"/>
      <c r="I26" s="157">
        <v>0</v>
      </c>
      <c r="J26" s="390"/>
      <c r="K26" s="390"/>
      <c r="L26" s="390"/>
      <c r="M26" s="410"/>
      <c r="N26" s="392"/>
      <c r="O26" s="393"/>
      <c r="P26" s="394"/>
      <c r="Q26" s="382"/>
      <c r="R26" s="382"/>
      <c r="S26" s="385"/>
    </row>
    <row r="27" spans="1:19" x14ac:dyDescent="0.2">
      <c r="A27" s="395"/>
      <c r="B27" s="396"/>
      <c r="C27" s="396"/>
      <c r="D27" s="397"/>
      <c r="E27" s="398"/>
      <c r="F27" s="401">
        <v>1</v>
      </c>
      <c r="G27" s="85" t="s">
        <v>150</v>
      </c>
      <c r="H27" s="411"/>
      <c r="I27" s="86" t="s">
        <v>151</v>
      </c>
      <c r="J27" s="407"/>
      <c r="K27" s="407"/>
      <c r="L27" s="407"/>
      <c r="M27" s="408"/>
      <c r="N27" s="408">
        <v>0</v>
      </c>
      <c r="O27" s="376" t="s">
        <v>177</v>
      </c>
      <c r="P27" s="378"/>
      <c r="Q27" s="380">
        <f>SUM(P27:P30)/12</f>
        <v>0</v>
      </c>
      <c r="R27" s="380">
        <f>SUM(M27)-N27-N29-Q27</f>
        <v>0</v>
      </c>
      <c r="S27" s="383"/>
    </row>
    <row r="28" spans="1:19" x14ac:dyDescent="0.2">
      <c r="A28" s="386"/>
      <c r="B28" s="387"/>
      <c r="C28" s="387"/>
      <c r="D28" s="388"/>
      <c r="E28" s="399"/>
      <c r="F28" s="402"/>
      <c r="G28" s="155"/>
      <c r="H28" s="412"/>
      <c r="I28" s="156">
        <v>0</v>
      </c>
      <c r="J28" s="389"/>
      <c r="K28" s="389"/>
      <c r="L28" s="389"/>
      <c r="M28" s="409"/>
      <c r="N28" s="409"/>
      <c r="O28" s="377"/>
      <c r="P28" s="379"/>
      <c r="Q28" s="381"/>
      <c r="R28" s="381"/>
      <c r="S28" s="384"/>
    </row>
    <row r="29" spans="1:19" x14ac:dyDescent="0.2">
      <c r="A29" s="151"/>
      <c r="B29" s="7" t="s">
        <v>201</v>
      </c>
      <c r="C29" s="149"/>
      <c r="D29" s="7" t="s">
        <v>152</v>
      </c>
      <c r="E29" s="399"/>
      <c r="F29" s="402"/>
      <c r="G29" s="88" t="s">
        <v>153</v>
      </c>
      <c r="H29" s="412"/>
      <c r="I29" s="89" t="s">
        <v>154</v>
      </c>
      <c r="J29" s="389"/>
      <c r="K29" s="389"/>
      <c r="L29" s="389"/>
      <c r="M29" s="409"/>
      <c r="N29" s="391"/>
      <c r="O29" s="377" t="s">
        <v>178</v>
      </c>
      <c r="P29" s="379"/>
      <c r="Q29" s="381"/>
      <c r="R29" s="381"/>
      <c r="S29" s="384"/>
    </row>
    <row r="30" spans="1:19" ht="12" thickBot="1" x14ac:dyDescent="0.25">
      <c r="A30" s="152"/>
      <c r="B30" s="8" t="s">
        <v>202</v>
      </c>
      <c r="C30" s="150"/>
      <c r="D30" s="8" t="s">
        <v>155</v>
      </c>
      <c r="E30" s="400"/>
      <c r="F30" s="403"/>
      <c r="G30" s="154"/>
      <c r="H30" s="413"/>
      <c r="I30" s="157">
        <v>0</v>
      </c>
      <c r="J30" s="390"/>
      <c r="K30" s="390"/>
      <c r="L30" s="390"/>
      <c r="M30" s="410"/>
      <c r="N30" s="392"/>
      <c r="O30" s="393"/>
      <c r="P30" s="394"/>
      <c r="Q30" s="382"/>
      <c r="R30" s="382"/>
      <c r="S30" s="385"/>
    </row>
    <row r="31" spans="1:19" x14ac:dyDescent="0.2">
      <c r="A31" s="395"/>
      <c r="B31" s="396"/>
      <c r="C31" s="396"/>
      <c r="D31" s="397"/>
      <c r="E31" s="398"/>
      <c r="F31" s="401">
        <v>1</v>
      </c>
      <c r="G31" s="85" t="s">
        <v>150</v>
      </c>
      <c r="H31" s="404"/>
      <c r="I31" s="86" t="s">
        <v>151</v>
      </c>
      <c r="J31" s="407"/>
      <c r="K31" s="407"/>
      <c r="L31" s="407"/>
      <c r="M31" s="408"/>
      <c r="N31" s="408">
        <v>0</v>
      </c>
      <c r="O31" s="376" t="s">
        <v>177</v>
      </c>
      <c r="P31" s="378"/>
      <c r="Q31" s="380">
        <f>SUM(P31:P34)/12</f>
        <v>0</v>
      </c>
      <c r="R31" s="380">
        <f>SUM(M31)-N31-N33-Q31</f>
        <v>0</v>
      </c>
      <c r="S31" s="383"/>
    </row>
    <row r="32" spans="1:19" x14ac:dyDescent="0.2">
      <c r="A32" s="386"/>
      <c r="B32" s="387"/>
      <c r="C32" s="387"/>
      <c r="D32" s="388"/>
      <c r="E32" s="399"/>
      <c r="F32" s="402"/>
      <c r="G32" s="155"/>
      <c r="H32" s="405"/>
      <c r="I32" s="156">
        <v>0</v>
      </c>
      <c r="J32" s="389"/>
      <c r="K32" s="389"/>
      <c r="L32" s="389"/>
      <c r="M32" s="409"/>
      <c r="N32" s="409"/>
      <c r="O32" s="377"/>
      <c r="P32" s="379"/>
      <c r="Q32" s="381"/>
      <c r="R32" s="381"/>
      <c r="S32" s="384"/>
    </row>
    <row r="33" spans="1:19" x14ac:dyDescent="0.2">
      <c r="A33" s="151"/>
      <c r="B33" s="7" t="s">
        <v>201</v>
      </c>
      <c r="C33" s="149"/>
      <c r="D33" s="7" t="s">
        <v>152</v>
      </c>
      <c r="E33" s="399"/>
      <c r="F33" s="402"/>
      <c r="G33" s="88" t="s">
        <v>153</v>
      </c>
      <c r="H33" s="405"/>
      <c r="I33" s="89" t="s">
        <v>154</v>
      </c>
      <c r="J33" s="389"/>
      <c r="K33" s="389"/>
      <c r="L33" s="389"/>
      <c r="M33" s="409"/>
      <c r="N33" s="391"/>
      <c r="O33" s="377" t="s">
        <v>178</v>
      </c>
      <c r="P33" s="379"/>
      <c r="Q33" s="381"/>
      <c r="R33" s="381"/>
      <c r="S33" s="384"/>
    </row>
    <row r="34" spans="1:19" ht="12" thickBot="1" x14ac:dyDescent="0.25">
      <c r="A34" s="152"/>
      <c r="B34" s="8" t="s">
        <v>202</v>
      </c>
      <c r="C34" s="150"/>
      <c r="D34" s="8" t="s">
        <v>155</v>
      </c>
      <c r="E34" s="400"/>
      <c r="F34" s="403"/>
      <c r="G34" s="154"/>
      <c r="H34" s="406"/>
      <c r="I34" s="157">
        <v>0</v>
      </c>
      <c r="J34" s="390"/>
      <c r="K34" s="390"/>
      <c r="L34" s="390"/>
      <c r="M34" s="410"/>
      <c r="N34" s="392"/>
      <c r="O34" s="393"/>
      <c r="P34" s="394"/>
      <c r="Q34" s="382"/>
      <c r="R34" s="382"/>
      <c r="S34" s="385"/>
    </row>
    <row r="35" spans="1:19" x14ac:dyDescent="0.2">
      <c r="A35" s="395"/>
      <c r="B35" s="396"/>
      <c r="C35" s="396"/>
      <c r="D35" s="397"/>
      <c r="E35" s="398"/>
      <c r="F35" s="401">
        <v>1</v>
      </c>
      <c r="G35" s="85" t="s">
        <v>150</v>
      </c>
      <c r="H35" s="404"/>
      <c r="I35" s="86" t="s">
        <v>151</v>
      </c>
      <c r="J35" s="407"/>
      <c r="K35" s="407"/>
      <c r="L35" s="407"/>
      <c r="M35" s="408"/>
      <c r="N35" s="408">
        <v>0</v>
      </c>
      <c r="O35" s="376" t="s">
        <v>177</v>
      </c>
      <c r="P35" s="378"/>
      <c r="Q35" s="380">
        <f>SUM(P35:P38)/12</f>
        <v>0</v>
      </c>
      <c r="R35" s="380">
        <f>SUM(M35)-N35-N37-Q35</f>
        <v>0</v>
      </c>
      <c r="S35" s="383"/>
    </row>
    <row r="36" spans="1:19" x14ac:dyDescent="0.2">
      <c r="A36" s="386"/>
      <c r="B36" s="387"/>
      <c r="C36" s="387"/>
      <c r="D36" s="388"/>
      <c r="E36" s="399"/>
      <c r="F36" s="402"/>
      <c r="G36" s="155"/>
      <c r="H36" s="405"/>
      <c r="I36" s="156">
        <v>0</v>
      </c>
      <c r="J36" s="389"/>
      <c r="K36" s="389"/>
      <c r="L36" s="389"/>
      <c r="M36" s="409"/>
      <c r="N36" s="409"/>
      <c r="O36" s="377"/>
      <c r="P36" s="379"/>
      <c r="Q36" s="381"/>
      <c r="R36" s="381"/>
      <c r="S36" s="384"/>
    </row>
    <row r="37" spans="1:19" x14ac:dyDescent="0.2">
      <c r="A37" s="151"/>
      <c r="B37" s="7" t="s">
        <v>201</v>
      </c>
      <c r="C37" s="149"/>
      <c r="D37" s="7" t="s">
        <v>152</v>
      </c>
      <c r="E37" s="399"/>
      <c r="F37" s="402"/>
      <c r="G37" s="88" t="s">
        <v>153</v>
      </c>
      <c r="H37" s="405"/>
      <c r="I37" s="89" t="s">
        <v>154</v>
      </c>
      <c r="J37" s="389"/>
      <c r="K37" s="389"/>
      <c r="L37" s="389"/>
      <c r="M37" s="409"/>
      <c r="N37" s="391"/>
      <c r="O37" s="377" t="s">
        <v>178</v>
      </c>
      <c r="P37" s="379"/>
      <c r="Q37" s="381"/>
      <c r="R37" s="381"/>
      <c r="S37" s="384"/>
    </row>
    <row r="38" spans="1:19" ht="12" thickBot="1" x14ac:dyDescent="0.25">
      <c r="A38" s="152"/>
      <c r="B38" s="8" t="s">
        <v>202</v>
      </c>
      <c r="C38" s="150"/>
      <c r="D38" s="8" t="s">
        <v>155</v>
      </c>
      <c r="E38" s="400"/>
      <c r="F38" s="403"/>
      <c r="G38" s="154"/>
      <c r="H38" s="406"/>
      <c r="I38" s="157">
        <v>0</v>
      </c>
      <c r="J38" s="390"/>
      <c r="K38" s="390"/>
      <c r="L38" s="390"/>
      <c r="M38" s="410"/>
      <c r="N38" s="392"/>
      <c r="O38" s="393"/>
      <c r="P38" s="394"/>
      <c r="Q38" s="382"/>
      <c r="R38" s="382"/>
      <c r="S38" s="385"/>
    </row>
    <row r="39" spans="1:19" x14ac:dyDescent="0.2">
      <c r="A39" s="395"/>
      <c r="B39" s="396"/>
      <c r="C39" s="396"/>
      <c r="D39" s="397"/>
      <c r="E39" s="398"/>
      <c r="F39" s="401">
        <v>1</v>
      </c>
      <c r="G39" s="85" t="s">
        <v>150</v>
      </c>
      <c r="H39" s="404"/>
      <c r="I39" s="86" t="s">
        <v>151</v>
      </c>
      <c r="J39" s="407"/>
      <c r="K39" s="407"/>
      <c r="L39" s="407"/>
      <c r="M39" s="408"/>
      <c r="N39" s="408">
        <v>0</v>
      </c>
      <c r="O39" s="376" t="s">
        <v>177</v>
      </c>
      <c r="P39" s="378"/>
      <c r="Q39" s="380">
        <f>SUM(P39:P42)/12</f>
        <v>0</v>
      </c>
      <c r="R39" s="380">
        <f>SUM(M39)-N39-N41-Q39</f>
        <v>0</v>
      </c>
      <c r="S39" s="383"/>
    </row>
    <row r="40" spans="1:19" x14ac:dyDescent="0.2">
      <c r="A40" s="386"/>
      <c r="B40" s="387"/>
      <c r="C40" s="387"/>
      <c r="D40" s="388"/>
      <c r="E40" s="399"/>
      <c r="F40" s="402"/>
      <c r="G40" s="155"/>
      <c r="H40" s="405"/>
      <c r="I40" s="156">
        <v>0</v>
      </c>
      <c r="J40" s="389"/>
      <c r="K40" s="389"/>
      <c r="L40" s="389"/>
      <c r="M40" s="409"/>
      <c r="N40" s="409"/>
      <c r="O40" s="377"/>
      <c r="P40" s="379"/>
      <c r="Q40" s="381"/>
      <c r="R40" s="381"/>
      <c r="S40" s="384"/>
    </row>
    <row r="41" spans="1:19" x14ac:dyDescent="0.2">
      <c r="A41" s="151"/>
      <c r="B41" s="7" t="s">
        <v>201</v>
      </c>
      <c r="C41" s="149"/>
      <c r="D41" s="7" t="s">
        <v>152</v>
      </c>
      <c r="E41" s="399"/>
      <c r="F41" s="402"/>
      <c r="G41" s="88" t="s">
        <v>153</v>
      </c>
      <c r="H41" s="405"/>
      <c r="I41" s="89" t="s">
        <v>154</v>
      </c>
      <c r="J41" s="389"/>
      <c r="K41" s="389"/>
      <c r="L41" s="389"/>
      <c r="M41" s="409"/>
      <c r="N41" s="391"/>
      <c r="O41" s="377" t="s">
        <v>178</v>
      </c>
      <c r="P41" s="379"/>
      <c r="Q41" s="381"/>
      <c r="R41" s="381"/>
      <c r="S41" s="384"/>
    </row>
    <row r="42" spans="1:19" ht="12" thickBot="1" x14ac:dyDescent="0.25">
      <c r="A42" s="152"/>
      <c r="B42" s="8" t="s">
        <v>202</v>
      </c>
      <c r="C42" s="150"/>
      <c r="D42" s="8" t="s">
        <v>155</v>
      </c>
      <c r="E42" s="400"/>
      <c r="F42" s="403"/>
      <c r="G42" s="154"/>
      <c r="H42" s="406"/>
      <c r="I42" s="157">
        <v>0</v>
      </c>
      <c r="J42" s="390"/>
      <c r="K42" s="390"/>
      <c r="L42" s="390"/>
      <c r="M42" s="410"/>
      <c r="N42" s="392"/>
      <c r="O42" s="377"/>
      <c r="P42" s="379"/>
      <c r="Q42" s="382"/>
      <c r="R42" s="382"/>
      <c r="S42" s="385"/>
    </row>
    <row r="43" spans="1:19" ht="12" thickBot="1" x14ac:dyDescent="0.25">
      <c r="H43" s="101">
        <f>SUM(H7:H38)</f>
        <v>0</v>
      </c>
      <c r="I43" s="102">
        <f>SUM(I8,I10,I12,I14,I16,I18,I20,I22,I24,I26,I28,I30,I32,I34,I36,I38)</f>
        <v>0</v>
      </c>
      <c r="M43" s="103">
        <f>SUM(M7:M38)</f>
        <v>1000</v>
      </c>
      <c r="N43" s="159">
        <f>SUM(N7:N38)</f>
        <v>0</v>
      </c>
      <c r="O43" s="445" t="s">
        <v>177</v>
      </c>
      <c r="P43" s="445">
        <f>P7+P11+P15+P19+P23+P27+P31+P35+P39</f>
        <v>6000</v>
      </c>
      <c r="Q43" s="160">
        <f>SUM(Q7:Q38)</f>
        <v>583.33333333333337</v>
      </c>
      <c r="R43" s="102">
        <f>SUM(R7:R38)</f>
        <v>416.66666666666663</v>
      </c>
    </row>
    <row r="44" spans="1:19" x14ac:dyDescent="0.2">
      <c r="H44" s="91"/>
      <c r="I44" s="92"/>
      <c r="M44" s="93"/>
      <c r="N44" s="92"/>
      <c r="O44" s="446" t="s">
        <v>178</v>
      </c>
      <c r="P44" s="447">
        <f>P9+P13+P17+P21+P25+P29+P33+P37+P41</f>
        <v>1000</v>
      </c>
      <c r="Q44" s="91"/>
      <c r="R44" s="91"/>
    </row>
    <row r="45" spans="1:19" x14ac:dyDescent="0.2">
      <c r="H45" s="91"/>
      <c r="I45" s="92"/>
      <c r="M45" s="93"/>
      <c r="N45" s="92"/>
      <c r="O45" s="94"/>
      <c r="P45" s="94"/>
      <c r="Q45" s="91"/>
      <c r="R45" s="91"/>
    </row>
    <row r="47" spans="1:19" x14ac:dyDescent="0.2">
      <c r="A47" s="95" t="s">
        <v>156</v>
      </c>
    </row>
    <row r="48" spans="1:19" x14ac:dyDescent="0.2">
      <c r="S48" s="98"/>
    </row>
  </sheetData>
  <sheetProtection selectLockedCells="1"/>
  <mergeCells count="196">
    <mergeCell ref="C2:F2"/>
    <mergeCell ref="N3:R3"/>
    <mergeCell ref="S3:S6"/>
    <mergeCell ref="A5:D5"/>
    <mergeCell ref="O5:P5"/>
    <mergeCell ref="A6:D6"/>
    <mergeCell ref="O6:P6"/>
    <mergeCell ref="R7:R10"/>
    <mergeCell ref="S7:S10"/>
    <mergeCell ref="A8:D8"/>
    <mergeCell ref="J9:J10"/>
    <mergeCell ref="K9:K10"/>
    <mergeCell ref="L9:L10"/>
    <mergeCell ref="N9:N10"/>
    <mergeCell ref="O9:O10"/>
    <mergeCell ref="P9:P10"/>
    <mergeCell ref="L7:L8"/>
    <mergeCell ref="M7:M10"/>
    <mergeCell ref="N7:N8"/>
    <mergeCell ref="O7:O8"/>
    <mergeCell ref="P7:P8"/>
    <mergeCell ref="Q7:Q10"/>
    <mergeCell ref="A7:D7"/>
    <mergeCell ref="E7:E10"/>
    <mergeCell ref="F7:F10"/>
    <mergeCell ref="H7:H10"/>
    <mergeCell ref="J7:J8"/>
    <mergeCell ref="K7:K8"/>
    <mergeCell ref="R11:R14"/>
    <mergeCell ref="S11:S14"/>
    <mergeCell ref="A12:D12"/>
    <mergeCell ref="J13:J14"/>
    <mergeCell ref="K13:K14"/>
    <mergeCell ref="L13:L14"/>
    <mergeCell ref="N13:N14"/>
    <mergeCell ref="O13:O14"/>
    <mergeCell ref="P13:P14"/>
    <mergeCell ref="L11:L12"/>
    <mergeCell ref="M11:M14"/>
    <mergeCell ref="N11:N12"/>
    <mergeCell ref="O11:O12"/>
    <mergeCell ref="P11:P12"/>
    <mergeCell ref="Q11:Q14"/>
    <mergeCell ref="A11:D11"/>
    <mergeCell ref="E11:E14"/>
    <mergeCell ref="F11:F14"/>
    <mergeCell ref="H11:H14"/>
    <mergeCell ref="J11:J12"/>
    <mergeCell ref="K11:K12"/>
    <mergeCell ref="R15:R18"/>
    <mergeCell ref="S15:S18"/>
    <mergeCell ref="A16:D16"/>
    <mergeCell ref="J17:J18"/>
    <mergeCell ref="K17:K18"/>
    <mergeCell ref="L17:L18"/>
    <mergeCell ref="N17:N18"/>
    <mergeCell ref="O17:O18"/>
    <mergeCell ref="P17:P18"/>
    <mergeCell ref="L15:L16"/>
    <mergeCell ref="M15:M18"/>
    <mergeCell ref="N15:N16"/>
    <mergeCell ref="O15:O16"/>
    <mergeCell ref="P15:P16"/>
    <mergeCell ref="Q15:Q18"/>
    <mergeCell ref="A15:D15"/>
    <mergeCell ref="E15:E18"/>
    <mergeCell ref="F15:F18"/>
    <mergeCell ref="H15:H18"/>
    <mergeCell ref="J15:J16"/>
    <mergeCell ref="K15:K16"/>
    <mergeCell ref="R19:R22"/>
    <mergeCell ref="S19:S22"/>
    <mergeCell ref="A20:D20"/>
    <mergeCell ref="J21:J22"/>
    <mergeCell ref="K21:K22"/>
    <mergeCell ref="L21:L22"/>
    <mergeCell ref="N21:N22"/>
    <mergeCell ref="O21:O22"/>
    <mergeCell ref="P21:P22"/>
    <mergeCell ref="L19:L20"/>
    <mergeCell ref="M19:M22"/>
    <mergeCell ref="N19:N20"/>
    <mergeCell ref="O19:O20"/>
    <mergeCell ref="P19:P20"/>
    <mergeCell ref="Q19:Q22"/>
    <mergeCell ref="A19:D19"/>
    <mergeCell ref="E19:E22"/>
    <mergeCell ref="F19:F22"/>
    <mergeCell ref="H19:H22"/>
    <mergeCell ref="J19:J20"/>
    <mergeCell ref="K19:K20"/>
    <mergeCell ref="R23:R26"/>
    <mergeCell ref="S23:S26"/>
    <mergeCell ref="A24:D24"/>
    <mergeCell ref="J25:J26"/>
    <mergeCell ref="K25:K26"/>
    <mergeCell ref="L25:L26"/>
    <mergeCell ref="N25:N26"/>
    <mergeCell ref="O25:O26"/>
    <mergeCell ref="P25:P26"/>
    <mergeCell ref="L23:L24"/>
    <mergeCell ref="M23:M26"/>
    <mergeCell ref="N23:N24"/>
    <mergeCell ref="O23:O24"/>
    <mergeCell ref="P23:P24"/>
    <mergeCell ref="Q23:Q26"/>
    <mergeCell ref="A23:D23"/>
    <mergeCell ref="E23:E26"/>
    <mergeCell ref="F23:F26"/>
    <mergeCell ref="H23:H26"/>
    <mergeCell ref="J23:J24"/>
    <mergeCell ref="K23:K24"/>
    <mergeCell ref="R27:R30"/>
    <mergeCell ref="S27:S30"/>
    <mergeCell ref="A28:D28"/>
    <mergeCell ref="J29:J30"/>
    <mergeCell ref="K29:K30"/>
    <mergeCell ref="L29:L30"/>
    <mergeCell ref="N29:N30"/>
    <mergeCell ref="O29:O30"/>
    <mergeCell ref="P29:P30"/>
    <mergeCell ref="L27:L28"/>
    <mergeCell ref="M27:M30"/>
    <mergeCell ref="N27:N28"/>
    <mergeCell ref="O27:O28"/>
    <mergeCell ref="P27:P28"/>
    <mergeCell ref="Q27:Q30"/>
    <mergeCell ref="A27:D27"/>
    <mergeCell ref="E27:E30"/>
    <mergeCell ref="F27:F30"/>
    <mergeCell ref="H27:H30"/>
    <mergeCell ref="J27:J28"/>
    <mergeCell ref="K27:K28"/>
    <mergeCell ref="R31:R34"/>
    <mergeCell ref="S31:S34"/>
    <mergeCell ref="A32:D32"/>
    <mergeCell ref="J33:J34"/>
    <mergeCell ref="K33:K34"/>
    <mergeCell ref="L33:L34"/>
    <mergeCell ref="N33:N34"/>
    <mergeCell ref="O33:O34"/>
    <mergeCell ref="P33:P34"/>
    <mergeCell ref="L31:L32"/>
    <mergeCell ref="M31:M34"/>
    <mergeCell ref="N31:N32"/>
    <mergeCell ref="O31:O32"/>
    <mergeCell ref="P31:P32"/>
    <mergeCell ref="Q31:Q34"/>
    <mergeCell ref="A31:D31"/>
    <mergeCell ref="E31:E34"/>
    <mergeCell ref="F31:F34"/>
    <mergeCell ref="H31:H34"/>
    <mergeCell ref="J31:J32"/>
    <mergeCell ref="K31:K32"/>
    <mergeCell ref="R35:R38"/>
    <mergeCell ref="S35:S38"/>
    <mergeCell ref="A36:D36"/>
    <mergeCell ref="J37:J38"/>
    <mergeCell ref="K37:K38"/>
    <mergeCell ref="L37:L38"/>
    <mergeCell ref="N37:N38"/>
    <mergeCell ref="O37:O38"/>
    <mergeCell ref="P37:P38"/>
    <mergeCell ref="L35:L36"/>
    <mergeCell ref="M35:M38"/>
    <mergeCell ref="N35:N36"/>
    <mergeCell ref="O35:O36"/>
    <mergeCell ref="P35:P36"/>
    <mergeCell ref="Q35:Q38"/>
    <mergeCell ref="A35:D35"/>
    <mergeCell ref="E35:E38"/>
    <mergeCell ref="F35:F38"/>
    <mergeCell ref="H35:H38"/>
    <mergeCell ref="J35:J36"/>
    <mergeCell ref="K35:K36"/>
    <mergeCell ref="R39:R42"/>
    <mergeCell ref="S39:S42"/>
    <mergeCell ref="A40:D40"/>
    <mergeCell ref="J41:J42"/>
    <mergeCell ref="K41:K42"/>
    <mergeCell ref="L41:L42"/>
    <mergeCell ref="N41:N42"/>
    <mergeCell ref="O41:O42"/>
    <mergeCell ref="P41:P42"/>
    <mergeCell ref="L39:L40"/>
    <mergeCell ref="M39:M42"/>
    <mergeCell ref="N39:N40"/>
    <mergeCell ref="O39:O40"/>
    <mergeCell ref="P39:P40"/>
    <mergeCell ref="Q39:Q42"/>
    <mergeCell ref="A39:D39"/>
    <mergeCell ref="E39:E42"/>
    <mergeCell ref="F39:F42"/>
    <mergeCell ref="H39:H42"/>
    <mergeCell ref="J39:J40"/>
    <mergeCell ref="K39:K40"/>
  </mergeCells>
  <pageMargins left="0.25" right="0.25" top="0.75" bottom="0.25735294117647056" header="0.3" footer="0.3"/>
  <pageSetup paperSize="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Page 1</vt:lpstr>
      <vt:lpstr>Page 2</vt:lpstr>
      <vt:lpstr>Page 3</vt:lpstr>
      <vt:lpstr>Page 4</vt:lpstr>
      <vt:lpstr>Page 6</vt:lpstr>
      <vt:lpstr>Page 6 (2)</vt:lpstr>
      <vt:lpstr>Page 6 (3)</vt:lpstr>
      <vt:lpstr>'Page 1'!Print_Area</vt:lpstr>
      <vt:lpstr>'Page 2'!Print_Area</vt:lpstr>
      <vt:lpstr>'Page 3'!Print_Area</vt:lpstr>
      <vt:lpstr>'Page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A. Michna</dc:creator>
  <cp:lastModifiedBy>Enrique CMD</cp:lastModifiedBy>
  <cp:lastPrinted>2026-06-29T23:11:24Z</cp:lastPrinted>
  <dcterms:created xsi:type="dcterms:W3CDTF">2014-07-24T14:32:59Z</dcterms:created>
  <dcterms:modified xsi:type="dcterms:W3CDTF">2026-07-23T20:01:12Z</dcterms:modified>
</cp:coreProperties>
</file>